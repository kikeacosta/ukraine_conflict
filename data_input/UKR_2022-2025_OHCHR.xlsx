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7" documentId="8_{BBBC0208-264C-4B4E-9743-1362D62AAF16}" xr6:coauthVersionLast="47" xr6:coauthVersionMax="47" xr10:uidLastSave="{E8B4A8AE-932F-41D3-8B81-DADDA2D90023}"/>
  <bookViews>
    <workbookView xWindow="-104" yWindow="-104" windowWidth="22326" windowHeight="13329" xr2:uid="{00000000-000D-0000-FFFF-FFFF00000000}"/>
  </bookViews>
  <sheets>
    <sheet name="Civilian deaths by age and sex" sheetId="25" r:id="rId1"/>
    <sheet name="Sheet1" sheetId="2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1" i="24" l="1"/>
  <c r="U31" i="24"/>
  <c r="V30" i="24"/>
  <c r="U30" i="24"/>
  <c r="V29" i="24"/>
  <c r="U29" i="24"/>
  <c r="V28" i="24"/>
  <c r="U28" i="24"/>
  <c r="V27" i="24"/>
  <c r="U27" i="24"/>
  <c r="V26" i="24"/>
  <c r="U26" i="24"/>
  <c r="V25" i="24"/>
  <c r="U25" i="24"/>
  <c r="V24" i="24"/>
  <c r="U24" i="24"/>
  <c r="V23" i="24"/>
  <c r="U23" i="24"/>
  <c r="V22" i="24"/>
  <c r="U22" i="24"/>
  <c r="V21" i="24"/>
  <c r="U21" i="24"/>
  <c r="V20" i="24"/>
  <c r="U20" i="24"/>
  <c r="V19" i="24"/>
  <c r="U19" i="24"/>
  <c r="V18" i="24"/>
  <c r="U18" i="24"/>
  <c r="V17" i="24"/>
  <c r="U17" i="24"/>
  <c r="V16" i="24"/>
  <c r="U16" i="24"/>
  <c r="V15" i="24"/>
  <c r="U15" i="24"/>
  <c r="V14" i="24"/>
  <c r="U14" i="24"/>
  <c r="V13" i="24"/>
  <c r="U13" i="24"/>
  <c r="V12" i="24"/>
  <c r="U12" i="24"/>
  <c r="V11" i="24"/>
  <c r="U11" i="24"/>
  <c r="AC12" i="24"/>
  <c r="AD12" i="24"/>
  <c r="AC13" i="24"/>
  <c r="AD13" i="24"/>
  <c r="AC14" i="24"/>
  <c r="AD14" i="24"/>
  <c r="AC15" i="24"/>
  <c r="AD15" i="24"/>
  <c r="AC16" i="24"/>
  <c r="AD16" i="24"/>
  <c r="AC17" i="24"/>
  <c r="AD17" i="24"/>
  <c r="AC18" i="24"/>
  <c r="AD18" i="24"/>
  <c r="AC19" i="24"/>
  <c r="AD19" i="24"/>
  <c r="AC20" i="24"/>
  <c r="AD20" i="24"/>
  <c r="AC21" i="24"/>
  <c r="AD21" i="24"/>
  <c r="AC22" i="24"/>
  <c r="AD22" i="24"/>
  <c r="AC23" i="24"/>
  <c r="AD23" i="24"/>
  <c r="AC24" i="24"/>
  <c r="AD24" i="24"/>
  <c r="AC25" i="24"/>
  <c r="AD25" i="24"/>
  <c r="AC26" i="24"/>
  <c r="AD26" i="24"/>
  <c r="AC27" i="24"/>
  <c r="AD27" i="24"/>
  <c r="AC28" i="24"/>
  <c r="AD28" i="24"/>
  <c r="AC29" i="24"/>
  <c r="AD29" i="24"/>
  <c r="AC30" i="24"/>
  <c r="AD30" i="24"/>
  <c r="AC31" i="24"/>
  <c r="AD31" i="24"/>
  <c r="AD11" i="24"/>
  <c r="AC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2" i="24"/>
  <c r="H11" i="24"/>
  <c r="G32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11" i="24"/>
</calcChain>
</file>

<file path=xl/sharedStrings.xml><?xml version="1.0" encoding="utf-8"?>
<sst xmlns="http://schemas.openxmlformats.org/spreadsheetml/2006/main" count="77" uniqueCount="53">
  <si>
    <t>* Individual cases verified by OHCHR, actual numbers are considerably higher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</si>
  <si>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</si>
  <si>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</si>
  <si>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</si>
  <si>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</si>
  <si>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</si>
  <si>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</si>
  <si>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</si>
  <si>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</si>
  <si>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</si>
  <si>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</si>
  <si>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</si>
  <si>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</si>
  <si>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</si>
  <si>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</si>
  <si>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</si>
  <si>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</si>
  <si>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</si>
  <si>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</si>
  <si>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100-104</t>
  </si>
  <si>
    <t>5-9</t>
  </si>
  <si>
    <t>10-14</t>
  </si>
  <si>
    <t>Male 2022</t>
  </si>
  <si>
    <t>Male 2023</t>
  </si>
  <si>
    <t>Female 2022</t>
  </si>
  <si>
    <t>Female 2023</t>
  </si>
  <si>
    <t>Boy 2022</t>
  </si>
  <si>
    <t>Girl 2022</t>
  </si>
  <si>
    <t>By age and sex</t>
  </si>
  <si>
    <t>Men</t>
  </si>
  <si>
    <t>Women</t>
  </si>
  <si>
    <t>Boys</t>
  </si>
  <si>
    <t>Girls</t>
  </si>
  <si>
    <t>By age groups</t>
  </si>
  <si>
    <t>*Based on 1,878 records where the age is known</t>
  </si>
  <si>
    <t>Total</t>
  </si>
  <si>
    <t>95-100</t>
  </si>
  <si>
    <t>M 2024</t>
  </si>
  <si>
    <t>F 2024</t>
  </si>
  <si>
    <t>M 2023</t>
  </si>
  <si>
    <t>F 2023</t>
  </si>
  <si>
    <t>M 2022</t>
  </si>
  <si>
    <t>F 2022</t>
  </si>
  <si>
    <t>Unknown 2022</t>
  </si>
  <si>
    <t>Unknown 2023</t>
  </si>
  <si>
    <t>Male 2024</t>
  </si>
  <si>
    <t>Female 2024</t>
  </si>
  <si>
    <t>Unknown 2024</t>
  </si>
  <si>
    <t>Male 2025</t>
  </si>
  <si>
    <t>Female 2025</t>
  </si>
  <si>
    <t>Unknown 2025</t>
  </si>
  <si>
    <t>** For 2022-2023 based on 5,228 civilian death (out of 9,511) whose age was known to OHCHR.</t>
  </si>
  <si>
    <t>Civilian casualties by age and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</si>
</sst>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2"/>
      <color theme="1"/>
      <name val="Aptos"/>
      <family val="2"/>
    </font>
    <font>
      <b/>
      <i/>
      <sz val="12"/>
      <color theme="1"/>
      <name val="Aptos"/>
      <family val="2"/>
    </font>
    <font>
      <sz val="11"/>
      <color rgb="FF000000"/>
      <name val="Calibri"/>
      <family val="2"/>
    </font>
    <font>
      <i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0">
    <xf numFmtId="0" fontId="0" fillId="0" borderId="0"/>
    <xf numFmtId="0" fontId="6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25">
    <xf numFmtId="0" fontId="0" fillId="0" borderId="0" xfId="0"/>
    <xf numFmtId="0" fontId="0" fillId="0" borderId="1" xfId="0" applyBorder="1"/>
    <xf numFmtId="0" fontId="8" fillId="0" borderId="0" xfId="0" applyFont="1"/>
    <xf numFmtId="0" fontId="7" fillId="0" borderId="1" xfId="0" applyFont="1" applyBorder="1"/>
    <xf numFmtId="0" fontId="9" fillId="0" borderId="1" xfId="0" applyFont="1" applyBorder="1" applyAlignment="1">
      <alignment vertical="center"/>
    </xf>
    <xf numFmtId="49" fontId="9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2" xfId="0" applyFont="1" applyBorder="1" applyAlignment="1">
      <alignment vertical="center"/>
    </xf>
    <xf numFmtId="3" fontId="13" fillId="0" borderId="3" xfId="0" applyNumberFormat="1" applyFont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0" borderId="5" xfId="0" applyFont="1" applyBorder="1" applyAlignment="1">
      <alignment horizontal="right" vertical="center"/>
    </xf>
    <xf numFmtId="0" fontId="11" fillId="0" borderId="0" xfId="0" applyFont="1"/>
    <xf numFmtId="3" fontId="13" fillId="0" borderId="0" xfId="0" applyNumberFormat="1" applyFont="1" applyAlignment="1">
      <alignment horizontal="right" vertic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2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16" fontId="11" fillId="0" borderId="4" xfId="0" applyNumberFormat="1" applyFont="1" applyBorder="1" applyAlignment="1">
      <alignment vertical="center" wrapText="1"/>
    </xf>
    <xf numFmtId="3" fontId="11" fillId="0" borderId="5" xfId="0" applyNumberFormat="1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164" fontId="0" fillId="0" borderId="0" xfId="0" applyNumberFormat="1"/>
    <xf numFmtId="0" fontId="7" fillId="0" borderId="1" xfId="0" applyFont="1" applyBorder="1" applyAlignment="1">
      <alignment horizontal="left"/>
    </xf>
  </cellXfs>
  <cellStyles count="10">
    <cellStyle name="Normal" xfId="0" builtinId="0"/>
    <cellStyle name="Normal 2" xfId="1" xr:uid="{00000000-0005-0000-0000-000001000000}"/>
    <cellStyle name="Normal 2 2" xfId="2" xr:uid="{00000000-0005-0000-0000-000002000000}"/>
    <cellStyle name="Normal 2 2 2" xfId="4" xr:uid="{55E9930D-CB3A-455E-A56C-5C84376DDAD4}"/>
    <cellStyle name="Normal 2 2 2 2" xfId="6" xr:uid="{D8095338-AEE5-4E8F-968B-A0DAA0BFBA64}"/>
    <cellStyle name="Normal 2 2 2 2 2" xfId="8" xr:uid="{3A7BCA1A-2D5A-4AAF-AD55-102C39DCC308}"/>
    <cellStyle name="Normal 2 3" xfId="3" xr:uid="{15464513-BF22-41A4-88AF-C98768BCB059}"/>
    <cellStyle name="Normal 2 3 2" xfId="5" xr:uid="{3637AAD3-B393-4C54-97B8-890A1BA02EF9}"/>
    <cellStyle name="Normal 2 3 2 2" xfId="7" xr:uid="{CB5A6489-35D4-4396-8BC8-255A643C33EA}"/>
    <cellStyle name="Normal 2 4" xfId="9" xr:uid="{3F58A6B8-AD46-4317-86C9-03884BD8ED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Sheet1!$G$10</c:f>
              <c:strCache>
                <c:ptCount val="1"/>
                <c:pt idx="0">
                  <c:v>M 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Sheet1!$A$11:$A$31</c:f>
              <c:strCache>
                <c:ptCount val="21"/>
                <c:pt idx="0">
                  <c:v>0-4</c:v>
                </c:pt>
                <c:pt idx="1">
                  <c:v>9-May</c:v>
                </c:pt>
                <c:pt idx="2">
                  <c:v>14-Oct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95-100</c:v>
                </c:pt>
                <c:pt idx="20">
                  <c:v>100-104</c:v>
                </c:pt>
              </c:strCache>
            </c:strRef>
          </c:cat>
          <c:val>
            <c:numRef>
              <c:f>Sheet1!$G$11:$G$30</c:f>
              <c:numCache>
                <c:formatCode>#,##0.0000</c:formatCode>
                <c:ptCount val="20"/>
                <c:pt idx="0">
                  <c:v>7.2007200720072004E-3</c:v>
                </c:pt>
                <c:pt idx="1">
                  <c:v>1.0801080108010801E-2</c:v>
                </c:pt>
                <c:pt idx="2">
                  <c:v>1.6201620162016202E-2</c:v>
                </c:pt>
                <c:pt idx="3">
                  <c:v>1.8901890189018902E-2</c:v>
                </c:pt>
                <c:pt idx="4">
                  <c:v>2.1602160216021602E-2</c:v>
                </c:pt>
                <c:pt idx="5">
                  <c:v>3.6903690369036901E-2</c:v>
                </c:pt>
                <c:pt idx="6">
                  <c:v>6.5706570657065713E-2</c:v>
                </c:pt>
                <c:pt idx="7">
                  <c:v>9.0909090909090912E-2</c:v>
                </c:pt>
                <c:pt idx="8">
                  <c:v>9.8109810981098111E-2</c:v>
                </c:pt>
                <c:pt idx="9">
                  <c:v>9.9009900990099015E-2</c:v>
                </c:pt>
                <c:pt idx="10">
                  <c:v>9.1809180918091815E-2</c:v>
                </c:pt>
                <c:pt idx="11">
                  <c:v>0.10171017101710171</c:v>
                </c:pt>
                <c:pt idx="12">
                  <c:v>0.11341134113411341</c:v>
                </c:pt>
                <c:pt idx="13">
                  <c:v>9.8109810981098111E-2</c:v>
                </c:pt>
                <c:pt idx="14">
                  <c:v>7.8307830783078305E-2</c:v>
                </c:pt>
                <c:pt idx="15">
                  <c:v>2.7902790279027902E-2</c:v>
                </c:pt>
                <c:pt idx="16">
                  <c:v>1.2601260126012601E-2</c:v>
                </c:pt>
                <c:pt idx="17">
                  <c:v>1.0801080108010801E-2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9-4E85-8341-8BAF4EDD3ED1}"/>
            </c:ext>
          </c:extLst>
        </c:ser>
        <c:ser>
          <c:idx val="1"/>
          <c:order val="1"/>
          <c:tx>
            <c:strRef>
              <c:f>Sheet1!$H$10</c:f>
              <c:strCache>
                <c:ptCount val="1"/>
                <c:pt idx="0">
                  <c:v>F 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Sheet1!$A$11:$A$31</c:f>
              <c:strCache>
                <c:ptCount val="21"/>
                <c:pt idx="0">
                  <c:v>0-4</c:v>
                </c:pt>
                <c:pt idx="1">
                  <c:v>9-May</c:v>
                </c:pt>
                <c:pt idx="2">
                  <c:v>14-Oct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95-100</c:v>
                </c:pt>
                <c:pt idx="20">
                  <c:v>100-104</c:v>
                </c:pt>
              </c:strCache>
            </c:strRef>
          </c:cat>
          <c:val>
            <c:numRef>
              <c:f>Sheet1!$H$11:$H$30</c:f>
              <c:numCache>
                <c:formatCode>#,##0.0000</c:formatCode>
                <c:ptCount val="20"/>
                <c:pt idx="0">
                  <c:v>9.126466753585397E-3</c:v>
                </c:pt>
                <c:pt idx="1">
                  <c:v>1.303780964797914E-2</c:v>
                </c:pt>
                <c:pt idx="2">
                  <c:v>2.607561929595828E-2</c:v>
                </c:pt>
                <c:pt idx="3">
                  <c:v>1.955671447196871E-2</c:v>
                </c:pt>
                <c:pt idx="4">
                  <c:v>1.4341590612777053E-2</c:v>
                </c:pt>
                <c:pt idx="5">
                  <c:v>2.3468057366362451E-2</c:v>
                </c:pt>
                <c:pt idx="6">
                  <c:v>2.7379400260756193E-2</c:v>
                </c:pt>
                <c:pt idx="7">
                  <c:v>6.3885267275097787E-2</c:v>
                </c:pt>
                <c:pt idx="8">
                  <c:v>8.2138200782268578E-2</c:v>
                </c:pt>
                <c:pt idx="9">
                  <c:v>7.1707953063885263E-2</c:v>
                </c:pt>
                <c:pt idx="10">
                  <c:v>8.0834419817470665E-2</c:v>
                </c:pt>
                <c:pt idx="11">
                  <c:v>9.7783572359843543E-2</c:v>
                </c:pt>
                <c:pt idx="12">
                  <c:v>0.11603650586701435</c:v>
                </c:pt>
                <c:pt idx="13">
                  <c:v>0.11473272490221642</c:v>
                </c:pt>
                <c:pt idx="14">
                  <c:v>0.10430247718383312</c:v>
                </c:pt>
                <c:pt idx="15">
                  <c:v>5.736636245110821E-2</c:v>
                </c:pt>
                <c:pt idx="16">
                  <c:v>4.1720990873533245E-2</c:v>
                </c:pt>
                <c:pt idx="17">
                  <c:v>2.3468057366362451E-2</c:v>
                </c:pt>
                <c:pt idx="18">
                  <c:v>1.0430247718383311E-2</c:v>
                </c:pt>
                <c:pt idx="19">
                  <c:v>2.6075619295958278E-3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9-4E85-8341-8BAF4EDD3ED1}"/>
            </c:ext>
          </c:extLst>
        </c:ser>
        <c:ser>
          <c:idx val="2"/>
          <c:order val="2"/>
          <c:tx>
            <c:strRef>
              <c:f>Sheet1!$I$10</c:f>
              <c:strCache>
                <c:ptCount val="1"/>
                <c:pt idx="0">
                  <c:v>M 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Sheet1!$A$11:$A$31</c:f>
              <c:strCache>
                <c:ptCount val="21"/>
                <c:pt idx="0">
                  <c:v>0-4</c:v>
                </c:pt>
                <c:pt idx="1">
                  <c:v>9-May</c:v>
                </c:pt>
                <c:pt idx="2">
                  <c:v>14-Oct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95-100</c:v>
                </c:pt>
                <c:pt idx="20">
                  <c:v>100-104</c:v>
                </c:pt>
              </c:strCache>
            </c:strRef>
          </c:cat>
          <c:val>
            <c:numRef>
              <c:f>Sheet1!$I$11:$I$30</c:f>
              <c:numCache>
                <c:formatCode>General</c:formatCode>
                <c:ptCount val="20"/>
                <c:pt idx="0">
                  <c:v>1.6483516483516484E-2</c:v>
                </c:pt>
                <c:pt idx="1">
                  <c:v>1.098901098901099E-2</c:v>
                </c:pt>
                <c:pt idx="2">
                  <c:v>1.4652014652014652E-2</c:v>
                </c:pt>
                <c:pt idx="3">
                  <c:v>3.2967032967032968E-2</c:v>
                </c:pt>
                <c:pt idx="4">
                  <c:v>3.6630036630036632E-2</c:v>
                </c:pt>
                <c:pt idx="5">
                  <c:v>4.3956043956043959E-2</c:v>
                </c:pt>
                <c:pt idx="6">
                  <c:v>8.608058608058608E-2</c:v>
                </c:pt>
                <c:pt idx="7">
                  <c:v>8.608058608058608E-2</c:v>
                </c:pt>
                <c:pt idx="8">
                  <c:v>8.7912087912087919E-2</c:v>
                </c:pt>
                <c:pt idx="9">
                  <c:v>0.10622710622710622</c:v>
                </c:pt>
                <c:pt idx="10">
                  <c:v>0.10073260073260074</c:v>
                </c:pt>
                <c:pt idx="11">
                  <c:v>8.608058608058608E-2</c:v>
                </c:pt>
                <c:pt idx="12">
                  <c:v>0.1043956043956044</c:v>
                </c:pt>
                <c:pt idx="13">
                  <c:v>9.1575091575091569E-2</c:v>
                </c:pt>
                <c:pt idx="14">
                  <c:v>6.5934065934065936E-2</c:v>
                </c:pt>
                <c:pt idx="15">
                  <c:v>1.4652014652014652E-2</c:v>
                </c:pt>
                <c:pt idx="16">
                  <c:v>9.1575091575091579E-3</c:v>
                </c:pt>
                <c:pt idx="17">
                  <c:v>3.663003663003663E-3</c:v>
                </c:pt>
                <c:pt idx="18">
                  <c:v>1.8315018315018315E-3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9-4E85-8341-8BAF4EDD3ED1}"/>
            </c:ext>
          </c:extLst>
        </c:ser>
        <c:ser>
          <c:idx val="3"/>
          <c:order val="3"/>
          <c:tx>
            <c:strRef>
              <c:f>Sheet1!$J$10</c:f>
              <c:strCache>
                <c:ptCount val="1"/>
                <c:pt idx="0">
                  <c:v>F 2023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Sheet1!$A$11:$A$31</c:f>
              <c:strCache>
                <c:ptCount val="21"/>
                <c:pt idx="0">
                  <c:v>0-4</c:v>
                </c:pt>
                <c:pt idx="1">
                  <c:v>9-May</c:v>
                </c:pt>
                <c:pt idx="2">
                  <c:v>14-Oct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95-100</c:v>
                </c:pt>
                <c:pt idx="20">
                  <c:v>100-104</c:v>
                </c:pt>
              </c:strCache>
            </c:strRef>
          </c:cat>
          <c:val>
            <c:numRef>
              <c:f>Sheet1!$J$11:$J$30</c:f>
              <c:numCache>
                <c:formatCode>General</c:formatCode>
                <c:ptCount val="20"/>
                <c:pt idx="0">
                  <c:v>1.912568306010929E-2</c:v>
                </c:pt>
                <c:pt idx="1">
                  <c:v>1.092896174863388E-2</c:v>
                </c:pt>
                <c:pt idx="2">
                  <c:v>2.4590163934426229E-2</c:v>
                </c:pt>
                <c:pt idx="3">
                  <c:v>3.5519125683060107E-2</c:v>
                </c:pt>
                <c:pt idx="4">
                  <c:v>2.7322404371584699E-2</c:v>
                </c:pt>
                <c:pt idx="5">
                  <c:v>2.7322404371584699E-2</c:v>
                </c:pt>
                <c:pt idx="6">
                  <c:v>4.9180327868852458E-2</c:v>
                </c:pt>
                <c:pt idx="7">
                  <c:v>4.6448087431693992E-2</c:v>
                </c:pt>
                <c:pt idx="8">
                  <c:v>7.1038251366120214E-2</c:v>
                </c:pt>
                <c:pt idx="9">
                  <c:v>6.5573770491803282E-2</c:v>
                </c:pt>
                <c:pt idx="10">
                  <c:v>8.7431693989071038E-2</c:v>
                </c:pt>
                <c:pt idx="11">
                  <c:v>9.2896174863387984E-2</c:v>
                </c:pt>
                <c:pt idx="12">
                  <c:v>0.14207650273224043</c:v>
                </c:pt>
                <c:pt idx="13">
                  <c:v>0.10109289617486339</c:v>
                </c:pt>
                <c:pt idx="14">
                  <c:v>0.11202185792349727</c:v>
                </c:pt>
                <c:pt idx="15">
                  <c:v>3.0054644808743168E-2</c:v>
                </c:pt>
                <c:pt idx="16">
                  <c:v>2.4590163934426229E-2</c:v>
                </c:pt>
                <c:pt idx="17">
                  <c:v>2.7322404371584699E-2</c:v>
                </c:pt>
                <c:pt idx="18">
                  <c:v>5.4644808743169399E-3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89-4E85-8341-8BAF4EDD3ED1}"/>
            </c:ext>
          </c:extLst>
        </c:ser>
        <c:ser>
          <c:idx val="4"/>
          <c:order val="4"/>
          <c:tx>
            <c:strRef>
              <c:f>Sheet1!$K$10</c:f>
              <c:strCache>
                <c:ptCount val="1"/>
                <c:pt idx="0">
                  <c:v>M 2022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Sheet1!$A$11:$A$31</c:f>
              <c:strCache>
                <c:ptCount val="21"/>
                <c:pt idx="0">
                  <c:v>0-4</c:v>
                </c:pt>
                <c:pt idx="1">
                  <c:v>9-May</c:v>
                </c:pt>
                <c:pt idx="2">
                  <c:v>14-Oct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95-100</c:v>
                </c:pt>
                <c:pt idx="20">
                  <c:v>100-104</c:v>
                </c:pt>
              </c:strCache>
            </c:strRef>
          </c:cat>
          <c:val>
            <c:numRef>
              <c:f>Sheet1!$K$11:$K$30</c:f>
              <c:numCache>
                <c:formatCode>General</c:formatCode>
                <c:ptCount val="20"/>
                <c:pt idx="0">
                  <c:v>1.1477230655312847E-2</c:v>
                </c:pt>
                <c:pt idx="1">
                  <c:v>1.554979637171418E-2</c:v>
                </c:pt>
                <c:pt idx="2">
                  <c:v>3.4061458718992965E-2</c:v>
                </c:pt>
                <c:pt idx="3">
                  <c:v>3.9244724176231024E-2</c:v>
                </c:pt>
                <c:pt idx="4">
                  <c:v>3.1099592743428359E-2</c:v>
                </c:pt>
                <c:pt idx="5">
                  <c:v>3.9244724176231024E-2</c:v>
                </c:pt>
                <c:pt idx="6">
                  <c:v>7.2195483154387258E-2</c:v>
                </c:pt>
                <c:pt idx="7">
                  <c:v>0.10107367641614216</c:v>
                </c:pt>
                <c:pt idx="8">
                  <c:v>0.10255460940392447</c:v>
                </c:pt>
                <c:pt idx="9">
                  <c:v>0.11292114031840059</c:v>
                </c:pt>
                <c:pt idx="10">
                  <c:v>9.1447611995557204E-2</c:v>
                </c:pt>
                <c:pt idx="11">
                  <c:v>9.1077378748611632E-2</c:v>
                </c:pt>
                <c:pt idx="12">
                  <c:v>8.6634579785264718E-2</c:v>
                </c:pt>
                <c:pt idx="13">
                  <c:v>6.3309885227693444E-2</c:v>
                </c:pt>
                <c:pt idx="14">
                  <c:v>5.1092188078489448E-2</c:v>
                </c:pt>
                <c:pt idx="15">
                  <c:v>2.2954461310625694E-2</c:v>
                </c:pt>
                <c:pt idx="16">
                  <c:v>2.2584228063680118E-2</c:v>
                </c:pt>
                <c:pt idx="17">
                  <c:v>8.8855979266938175E-3</c:v>
                </c:pt>
                <c:pt idx="18">
                  <c:v>1.4809329877823029E-3</c:v>
                </c:pt>
                <c:pt idx="19">
                  <c:v>1.1106997408367272E-3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89-4E85-8341-8BAF4EDD3ED1}"/>
            </c:ext>
          </c:extLst>
        </c:ser>
        <c:ser>
          <c:idx val="5"/>
          <c:order val="5"/>
          <c:tx>
            <c:strRef>
              <c:f>Sheet1!$L$10</c:f>
              <c:strCache>
                <c:ptCount val="1"/>
                <c:pt idx="0">
                  <c:v>F 2022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Sheet1!$A$11:$A$31</c:f>
              <c:strCache>
                <c:ptCount val="21"/>
                <c:pt idx="0">
                  <c:v>0-4</c:v>
                </c:pt>
                <c:pt idx="1">
                  <c:v>9-May</c:v>
                </c:pt>
                <c:pt idx="2">
                  <c:v>14-Oct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95-100</c:v>
                </c:pt>
                <c:pt idx="20">
                  <c:v>100-104</c:v>
                </c:pt>
              </c:strCache>
            </c:strRef>
          </c:cat>
          <c:val>
            <c:numRef>
              <c:f>Sheet1!$L$11:$L$30</c:f>
              <c:numCache>
                <c:formatCode>General</c:formatCode>
                <c:ptCount val="20"/>
                <c:pt idx="0">
                  <c:v>1.7699115044247787E-2</c:v>
                </c:pt>
                <c:pt idx="1">
                  <c:v>3.2237673830594185E-2</c:v>
                </c:pt>
                <c:pt idx="2">
                  <c:v>3.6662452591656132E-2</c:v>
                </c:pt>
                <c:pt idx="3">
                  <c:v>4.3615676359039193E-2</c:v>
                </c:pt>
                <c:pt idx="4">
                  <c:v>2.9709228824273071E-2</c:v>
                </c:pt>
                <c:pt idx="5">
                  <c:v>3.0973451327433628E-2</c:v>
                </c:pt>
                <c:pt idx="6">
                  <c:v>4.4247787610619468E-2</c:v>
                </c:pt>
                <c:pt idx="7">
                  <c:v>5.2465233881163087E-2</c:v>
                </c:pt>
                <c:pt idx="8">
                  <c:v>6.5107458912768645E-2</c:v>
                </c:pt>
                <c:pt idx="9">
                  <c:v>6.2579013906447531E-2</c:v>
                </c:pt>
                <c:pt idx="10">
                  <c:v>7.7117572692793929E-2</c:v>
                </c:pt>
                <c:pt idx="11">
                  <c:v>8.1542351453855882E-2</c:v>
                </c:pt>
                <c:pt idx="12">
                  <c:v>7.5221238938053103E-2</c:v>
                </c:pt>
                <c:pt idx="13">
                  <c:v>8.4702907711757272E-2</c:v>
                </c:pt>
                <c:pt idx="14">
                  <c:v>8.2806573957016433E-2</c:v>
                </c:pt>
                <c:pt idx="15">
                  <c:v>5.2465233881163087E-2</c:v>
                </c:pt>
                <c:pt idx="16">
                  <c:v>7.0796460176991149E-2</c:v>
                </c:pt>
                <c:pt idx="17">
                  <c:v>3.9823008849557522E-2</c:v>
                </c:pt>
                <c:pt idx="18">
                  <c:v>1.3906447534766119E-2</c:v>
                </c:pt>
                <c:pt idx="19">
                  <c:v>4.4247787610619468E-3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89-4E85-8341-8BAF4EDD3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058832"/>
        <c:axId val="1682064112"/>
      </c:lineChart>
      <c:catAx>
        <c:axId val="168205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064112"/>
        <c:crosses val="autoZero"/>
        <c:auto val="1"/>
        <c:lblAlgn val="ctr"/>
        <c:lblOffset val="100"/>
        <c:noMultiLvlLbl val="0"/>
      </c:catAx>
      <c:valAx>
        <c:axId val="1682064112"/>
        <c:scaling>
          <c:orientation val="minMax"/>
        </c:scaling>
        <c:delete val="0"/>
        <c:axPos val="l"/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05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517017</xdr:colOff>
      <xdr:row>13</xdr:row>
      <xdr:rowOff>67818</xdr:rowOff>
    </xdr:from>
    <xdr:to>
      <xdr:col>24</xdr:col>
      <xdr:colOff>134874</xdr:colOff>
      <xdr:row>26</xdr:row>
      <xdr:rowOff>35433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854339-9D8C-F5BD-3626-CA8E009C5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4519-5991-4658-9304-BBD49BA9FAA6}">
  <dimension ref="A1:M26"/>
  <sheetViews>
    <sheetView tabSelected="1" workbookViewId="0">
      <selection activeCell="H16" sqref="H16"/>
    </sheetView>
  </sheetViews>
  <sheetFormatPr defaultRowHeight="14.4" x14ac:dyDescent="0.3"/>
  <cols>
    <col min="11" max="11" width="8.69921875" customWidth="1"/>
  </cols>
  <sheetData>
    <row r="1" spans="1:13" x14ac:dyDescent="0.3">
      <c r="A1" t="s">
        <v>52</v>
      </c>
    </row>
    <row r="2" spans="1:13" x14ac:dyDescent="0.3">
      <c r="A2" s="1"/>
      <c r="B2" s="24" t="s">
        <v>22</v>
      </c>
      <c r="C2" s="24" t="s">
        <v>24</v>
      </c>
      <c r="D2" s="24" t="s">
        <v>43</v>
      </c>
      <c r="E2" s="24" t="s">
        <v>23</v>
      </c>
      <c r="F2" s="24" t="s">
        <v>25</v>
      </c>
      <c r="G2" s="24" t="s">
        <v>44</v>
      </c>
      <c r="H2" s="24" t="s">
        <v>45</v>
      </c>
      <c r="I2" s="24" t="s">
        <v>46</v>
      </c>
      <c r="J2" s="24" t="s">
        <v>47</v>
      </c>
      <c r="K2" s="24" t="s">
        <v>48</v>
      </c>
      <c r="L2" s="24" t="s">
        <v>49</v>
      </c>
      <c r="M2" s="24" t="s">
        <v>50</v>
      </c>
    </row>
    <row r="3" spans="1:13" x14ac:dyDescent="0.3">
      <c r="A3" s="4" t="s">
        <v>1</v>
      </c>
      <c r="B3" s="1">
        <v>31</v>
      </c>
      <c r="C3" s="1">
        <v>28</v>
      </c>
      <c r="D3" s="1">
        <v>8</v>
      </c>
      <c r="E3" s="1">
        <v>9</v>
      </c>
      <c r="F3" s="1">
        <v>7</v>
      </c>
      <c r="G3" s="1">
        <v>0</v>
      </c>
      <c r="H3" s="1">
        <v>8</v>
      </c>
      <c r="I3" s="1">
        <v>7</v>
      </c>
      <c r="J3" s="1">
        <v>0</v>
      </c>
      <c r="K3" s="1">
        <v>9</v>
      </c>
      <c r="L3" s="1">
        <v>6</v>
      </c>
      <c r="M3" s="1">
        <v>0</v>
      </c>
    </row>
    <row r="4" spans="1:13" x14ac:dyDescent="0.3">
      <c r="A4" s="5" t="s">
        <v>20</v>
      </c>
      <c r="B4" s="1">
        <v>42</v>
      </c>
      <c r="C4" s="1">
        <v>51</v>
      </c>
      <c r="D4" s="1">
        <v>7</v>
      </c>
      <c r="E4" s="1">
        <v>6</v>
      </c>
      <c r="F4" s="1">
        <v>4</v>
      </c>
      <c r="G4" s="1">
        <v>0</v>
      </c>
      <c r="H4" s="1">
        <v>12</v>
      </c>
      <c r="I4" s="1">
        <v>10</v>
      </c>
      <c r="J4" s="1">
        <v>0</v>
      </c>
      <c r="K4" s="1">
        <v>13</v>
      </c>
      <c r="L4" s="1">
        <v>8</v>
      </c>
      <c r="M4" s="1">
        <v>0</v>
      </c>
    </row>
    <row r="5" spans="1:13" x14ac:dyDescent="0.3">
      <c r="A5" s="5" t="s">
        <v>21</v>
      </c>
      <c r="B5" s="1">
        <v>92</v>
      </c>
      <c r="C5" s="1">
        <v>58</v>
      </c>
      <c r="D5" s="1">
        <v>0</v>
      </c>
      <c r="E5" s="1">
        <v>8</v>
      </c>
      <c r="F5" s="1">
        <v>9</v>
      </c>
      <c r="G5" s="1">
        <v>0</v>
      </c>
      <c r="H5" s="1">
        <v>18</v>
      </c>
      <c r="I5" s="1">
        <v>20</v>
      </c>
      <c r="J5" s="1">
        <v>0</v>
      </c>
      <c r="K5" s="1">
        <v>14</v>
      </c>
      <c r="L5" s="1">
        <v>12</v>
      </c>
      <c r="M5" s="1">
        <v>0</v>
      </c>
    </row>
    <row r="6" spans="1:13" x14ac:dyDescent="0.3">
      <c r="A6" s="4" t="s">
        <v>2</v>
      </c>
      <c r="B6" s="6">
        <v>106</v>
      </c>
      <c r="C6" s="1">
        <v>69</v>
      </c>
      <c r="D6" s="1">
        <v>0</v>
      </c>
      <c r="E6" s="6">
        <v>18</v>
      </c>
      <c r="F6" s="1">
        <v>13</v>
      </c>
      <c r="G6" s="1">
        <v>0</v>
      </c>
      <c r="H6" s="1">
        <v>21</v>
      </c>
      <c r="I6" s="1">
        <v>15</v>
      </c>
      <c r="J6" s="1">
        <v>0</v>
      </c>
      <c r="K6" s="1">
        <v>26</v>
      </c>
      <c r="L6" s="1">
        <v>18</v>
      </c>
      <c r="M6" s="1">
        <v>0</v>
      </c>
    </row>
    <row r="7" spans="1:13" x14ac:dyDescent="0.3">
      <c r="A7" s="4" t="s">
        <v>3</v>
      </c>
      <c r="B7" s="6">
        <v>84</v>
      </c>
      <c r="C7" s="1">
        <v>47</v>
      </c>
      <c r="D7" s="1">
        <v>0</v>
      </c>
      <c r="E7" s="6">
        <v>20</v>
      </c>
      <c r="F7" s="1">
        <v>10</v>
      </c>
      <c r="G7" s="1">
        <v>0</v>
      </c>
      <c r="H7" s="1">
        <v>24</v>
      </c>
      <c r="I7" s="1">
        <v>11</v>
      </c>
      <c r="J7" s="1">
        <v>0</v>
      </c>
      <c r="K7" s="1">
        <v>46</v>
      </c>
      <c r="L7" s="1">
        <v>20</v>
      </c>
      <c r="M7" s="1">
        <v>0</v>
      </c>
    </row>
    <row r="8" spans="1:13" x14ac:dyDescent="0.3">
      <c r="A8" s="4" t="s">
        <v>4</v>
      </c>
      <c r="B8" s="6">
        <v>106</v>
      </c>
      <c r="C8" s="1">
        <v>49</v>
      </c>
      <c r="D8" s="1">
        <v>0</v>
      </c>
      <c r="E8" s="6">
        <v>24</v>
      </c>
      <c r="F8" s="1">
        <v>10</v>
      </c>
      <c r="G8" s="1">
        <v>0</v>
      </c>
      <c r="H8" s="1">
        <v>41</v>
      </c>
      <c r="I8" s="1">
        <v>18</v>
      </c>
      <c r="J8" s="1">
        <v>0</v>
      </c>
      <c r="K8" s="1">
        <v>38</v>
      </c>
      <c r="L8" s="1">
        <v>19</v>
      </c>
      <c r="M8" s="1">
        <v>0</v>
      </c>
    </row>
    <row r="9" spans="1:13" x14ac:dyDescent="0.3">
      <c r="A9" s="4" t="s">
        <v>5</v>
      </c>
      <c r="B9" s="6">
        <v>195</v>
      </c>
      <c r="C9" s="6">
        <v>70</v>
      </c>
      <c r="D9" s="1">
        <v>0</v>
      </c>
      <c r="E9" s="6">
        <v>47</v>
      </c>
      <c r="F9" s="6">
        <v>18</v>
      </c>
      <c r="G9" s="1">
        <v>0</v>
      </c>
      <c r="H9" s="1">
        <v>73</v>
      </c>
      <c r="I9" s="1">
        <v>21</v>
      </c>
      <c r="J9" s="1">
        <v>0</v>
      </c>
      <c r="K9" s="1">
        <v>70</v>
      </c>
      <c r="L9" s="1">
        <v>18</v>
      </c>
      <c r="M9" s="1">
        <v>0</v>
      </c>
    </row>
    <row r="10" spans="1:13" x14ac:dyDescent="0.3">
      <c r="A10" s="4" t="s">
        <v>6</v>
      </c>
      <c r="B10" s="6">
        <v>273</v>
      </c>
      <c r="C10" s="6">
        <v>83</v>
      </c>
      <c r="D10" s="1">
        <v>4</v>
      </c>
      <c r="E10" s="6">
        <v>47</v>
      </c>
      <c r="F10" s="6">
        <v>17</v>
      </c>
      <c r="G10" s="1">
        <v>0</v>
      </c>
      <c r="H10" s="1">
        <v>101</v>
      </c>
      <c r="I10" s="1">
        <v>49</v>
      </c>
      <c r="J10" s="1">
        <v>0</v>
      </c>
      <c r="K10" s="1">
        <v>95</v>
      </c>
      <c r="L10" s="1">
        <v>33</v>
      </c>
      <c r="M10" s="1">
        <v>0</v>
      </c>
    </row>
    <row r="11" spans="1:13" x14ac:dyDescent="0.3">
      <c r="A11" s="4" t="s">
        <v>7</v>
      </c>
      <c r="B11" s="6">
        <v>277</v>
      </c>
      <c r="C11" s="6">
        <v>103</v>
      </c>
      <c r="D11" s="1">
        <v>5</v>
      </c>
      <c r="E11" s="6">
        <v>48</v>
      </c>
      <c r="F11" s="6">
        <v>26</v>
      </c>
      <c r="G11" s="1">
        <v>0</v>
      </c>
      <c r="H11" s="1">
        <v>109</v>
      </c>
      <c r="I11" s="1">
        <v>63</v>
      </c>
      <c r="J11" s="1">
        <v>0</v>
      </c>
      <c r="K11" s="1">
        <v>135</v>
      </c>
      <c r="L11" s="1">
        <v>61</v>
      </c>
      <c r="M11" s="1">
        <v>0</v>
      </c>
    </row>
    <row r="12" spans="1:13" x14ac:dyDescent="0.3">
      <c r="A12" s="4" t="s">
        <v>8</v>
      </c>
      <c r="B12" s="6">
        <v>305</v>
      </c>
      <c r="C12" s="1">
        <v>99</v>
      </c>
      <c r="D12" s="1">
        <v>2</v>
      </c>
      <c r="E12" s="6">
        <v>58</v>
      </c>
      <c r="F12" s="1">
        <v>24</v>
      </c>
      <c r="G12" s="1">
        <v>0</v>
      </c>
      <c r="H12" s="1">
        <v>110</v>
      </c>
      <c r="I12" s="1">
        <v>55</v>
      </c>
      <c r="J12" s="1">
        <v>0</v>
      </c>
      <c r="K12" s="1">
        <v>161</v>
      </c>
      <c r="L12" s="1">
        <v>72</v>
      </c>
      <c r="M12" s="1">
        <v>0</v>
      </c>
    </row>
    <row r="13" spans="1:13" x14ac:dyDescent="0.3">
      <c r="A13" s="4" t="s">
        <v>9</v>
      </c>
      <c r="B13" s="6">
        <v>247</v>
      </c>
      <c r="C13" s="1">
        <v>122</v>
      </c>
      <c r="D13" s="1">
        <v>6</v>
      </c>
      <c r="E13" s="6">
        <v>55</v>
      </c>
      <c r="F13" s="1">
        <v>32</v>
      </c>
      <c r="G13" s="1">
        <v>0</v>
      </c>
      <c r="H13" s="1">
        <v>102</v>
      </c>
      <c r="I13" s="1">
        <v>62</v>
      </c>
      <c r="J13" s="1">
        <v>0</v>
      </c>
      <c r="K13" s="1">
        <v>186</v>
      </c>
      <c r="L13" s="1">
        <v>77</v>
      </c>
      <c r="M13" s="1">
        <v>0</v>
      </c>
    </row>
    <row r="14" spans="1:13" x14ac:dyDescent="0.3">
      <c r="A14" s="4" t="s">
        <v>10</v>
      </c>
      <c r="B14" s="6">
        <v>246</v>
      </c>
      <c r="C14" s="1">
        <v>129</v>
      </c>
      <c r="D14" s="1">
        <v>0</v>
      </c>
      <c r="E14" s="6">
        <v>47</v>
      </c>
      <c r="F14" s="1">
        <v>34</v>
      </c>
      <c r="G14" s="1">
        <v>0</v>
      </c>
      <c r="H14" s="1">
        <v>113</v>
      </c>
      <c r="I14" s="1">
        <v>75</v>
      </c>
      <c r="J14" s="1">
        <v>0</v>
      </c>
      <c r="K14" s="1">
        <v>184</v>
      </c>
      <c r="L14" s="1">
        <v>92</v>
      </c>
      <c r="M14" s="1">
        <v>0</v>
      </c>
    </row>
    <row r="15" spans="1:13" x14ac:dyDescent="0.3">
      <c r="A15" s="4" t="s">
        <v>11</v>
      </c>
      <c r="B15" s="1">
        <v>234</v>
      </c>
      <c r="C15" s="1">
        <v>119</v>
      </c>
      <c r="D15" s="1">
        <v>1</v>
      </c>
      <c r="E15" s="1">
        <v>57</v>
      </c>
      <c r="F15" s="1">
        <v>52</v>
      </c>
      <c r="G15" s="1">
        <v>0</v>
      </c>
      <c r="H15" s="1">
        <v>126</v>
      </c>
      <c r="I15" s="1">
        <v>89</v>
      </c>
      <c r="J15" s="1">
        <v>0</v>
      </c>
      <c r="K15" s="1">
        <v>166</v>
      </c>
      <c r="L15" s="1">
        <v>95</v>
      </c>
      <c r="M15" s="1">
        <v>0</v>
      </c>
    </row>
    <row r="16" spans="1:13" x14ac:dyDescent="0.3">
      <c r="A16" s="4" t="s">
        <v>12</v>
      </c>
      <c r="B16" s="1">
        <v>171</v>
      </c>
      <c r="C16" s="1">
        <v>134</v>
      </c>
      <c r="D16" s="1">
        <v>0</v>
      </c>
      <c r="E16" s="1">
        <v>50</v>
      </c>
      <c r="F16" s="1">
        <v>37</v>
      </c>
      <c r="G16" s="1">
        <v>0</v>
      </c>
      <c r="H16" s="1">
        <v>109</v>
      </c>
      <c r="I16" s="1">
        <v>88</v>
      </c>
      <c r="J16" s="1">
        <v>0</v>
      </c>
      <c r="K16" s="1">
        <v>161</v>
      </c>
      <c r="L16" s="1">
        <v>115</v>
      </c>
      <c r="M16" s="1">
        <v>0</v>
      </c>
    </row>
    <row r="17" spans="1:13" x14ac:dyDescent="0.3">
      <c r="A17" s="4" t="s">
        <v>13</v>
      </c>
      <c r="B17" s="1">
        <v>138</v>
      </c>
      <c r="C17" s="1">
        <v>131</v>
      </c>
      <c r="D17" s="1">
        <v>0</v>
      </c>
      <c r="E17" s="1">
        <v>36</v>
      </c>
      <c r="F17" s="1">
        <v>41</v>
      </c>
      <c r="G17" s="1">
        <v>0</v>
      </c>
      <c r="H17" s="1">
        <v>87</v>
      </c>
      <c r="I17" s="1">
        <v>80</v>
      </c>
      <c r="J17" s="1">
        <v>0</v>
      </c>
      <c r="K17" s="1">
        <v>108</v>
      </c>
      <c r="L17" s="1">
        <v>81</v>
      </c>
      <c r="M17" s="1">
        <v>0</v>
      </c>
    </row>
    <row r="18" spans="1:13" x14ac:dyDescent="0.3">
      <c r="A18" s="4" t="s">
        <v>14</v>
      </c>
      <c r="B18" s="1">
        <v>62</v>
      </c>
      <c r="C18" s="1">
        <v>83</v>
      </c>
      <c r="D18" s="1">
        <v>0</v>
      </c>
      <c r="E18" s="1">
        <v>8</v>
      </c>
      <c r="F18" s="1">
        <v>11</v>
      </c>
      <c r="G18" s="1">
        <v>0</v>
      </c>
      <c r="H18" s="1">
        <v>31</v>
      </c>
      <c r="I18" s="1">
        <v>44</v>
      </c>
      <c r="J18" s="1">
        <v>0</v>
      </c>
      <c r="K18" s="1">
        <v>63</v>
      </c>
      <c r="L18" s="1">
        <v>63</v>
      </c>
      <c r="M18" s="1">
        <v>0</v>
      </c>
    </row>
    <row r="19" spans="1:13" x14ac:dyDescent="0.3">
      <c r="A19" s="4" t="s">
        <v>15</v>
      </c>
      <c r="B19" s="6">
        <v>61</v>
      </c>
      <c r="C19" s="1">
        <v>112</v>
      </c>
      <c r="D19" s="1">
        <v>0</v>
      </c>
      <c r="E19" s="6">
        <v>5</v>
      </c>
      <c r="F19" s="1">
        <v>9</v>
      </c>
      <c r="G19" s="1">
        <v>0</v>
      </c>
      <c r="H19" s="1">
        <v>14</v>
      </c>
      <c r="I19" s="1">
        <v>32</v>
      </c>
      <c r="J19" s="1">
        <v>0</v>
      </c>
      <c r="K19" s="1">
        <v>16</v>
      </c>
      <c r="L19" s="1">
        <v>32</v>
      </c>
      <c r="M19" s="1">
        <v>0</v>
      </c>
    </row>
    <row r="20" spans="1:13" x14ac:dyDescent="0.3">
      <c r="A20" s="4" t="s">
        <v>16</v>
      </c>
      <c r="B20" s="6">
        <v>24</v>
      </c>
      <c r="C20" s="1">
        <v>63</v>
      </c>
      <c r="D20" s="1">
        <v>0</v>
      </c>
      <c r="E20" s="6">
        <v>2</v>
      </c>
      <c r="F20" s="1">
        <v>10</v>
      </c>
      <c r="G20" s="1">
        <v>0</v>
      </c>
      <c r="H20" s="1">
        <v>12</v>
      </c>
      <c r="I20" s="1">
        <v>18</v>
      </c>
      <c r="J20" s="1">
        <v>0</v>
      </c>
      <c r="K20" s="1">
        <v>15</v>
      </c>
      <c r="L20" s="1">
        <v>41</v>
      </c>
      <c r="M20" s="1">
        <v>0</v>
      </c>
    </row>
    <row r="21" spans="1:13" x14ac:dyDescent="0.3">
      <c r="A21" s="4" t="s">
        <v>17</v>
      </c>
      <c r="B21" s="6">
        <v>4</v>
      </c>
      <c r="C21" s="1">
        <v>22</v>
      </c>
      <c r="D21" s="1">
        <v>0</v>
      </c>
      <c r="E21" s="6">
        <v>1</v>
      </c>
      <c r="F21" s="1">
        <v>2</v>
      </c>
      <c r="G21" s="1">
        <v>0</v>
      </c>
      <c r="H21" s="1">
        <v>0</v>
      </c>
      <c r="I21" s="1">
        <v>8</v>
      </c>
      <c r="J21" s="1">
        <v>0</v>
      </c>
      <c r="K21" s="1">
        <v>1</v>
      </c>
      <c r="L21" s="1">
        <v>6</v>
      </c>
      <c r="M21" s="1">
        <v>0</v>
      </c>
    </row>
    <row r="22" spans="1:13" x14ac:dyDescent="0.3">
      <c r="A22" s="4" t="s">
        <v>18</v>
      </c>
      <c r="B22" s="6">
        <v>3</v>
      </c>
      <c r="C22" s="1">
        <v>7</v>
      </c>
      <c r="D22" s="1">
        <v>0</v>
      </c>
      <c r="E22" s="6">
        <v>0</v>
      </c>
      <c r="F22" s="1">
        <v>0</v>
      </c>
      <c r="G22" s="1">
        <v>0</v>
      </c>
      <c r="H22" s="1">
        <v>0</v>
      </c>
      <c r="I22" s="1">
        <v>2</v>
      </c>
      <c r="J22" s="1">
        <v>0</v>
      </c>
      <c r="K22" s="1">
        <v>0</v>
      </c>
      <c r="L22" s="1">
        <v>2</v>
      </c>
      <c r="M22" s="1">
        <v>0</v>
      </c>
    </row>
    <row r="23" spans="1:13" x14ac:dyDescent="0.3">
      <c r="A23" s="4" t="s">
        <v>19</v>
      </c>
      <c r="B23" s="6">
        <v>0</v>
      </c>
      <c r="C23" s="1">
        <v>3</v>
      </c>
      <c r="D23" s="1">
        <v>0</v>
      </c>
      <c r="E23" s="6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5" spans="1:13" x14ac:dyDescent="0.3">
      <c r="A25" s="2" t="s">
        <v>0</v>
      </c>
    </row>
    <row r="26" spans="1:13" x14ac:dyDescent="0.3">
      <c r="A26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2A0F-E434-42E1-A061-14D7E895D401}">
  <dimension ref="A1:AD32"/>
  <sheetViews>
    <sheetView zoomScale="80" zoomScaleNormal="80" workbookViewId="0">
      <selection activeCell="A10" sqref="A10:F32"/>
    </sheetView>
  </sheetViews>
  <sheetFormatPr defaultRowHeight="14.4" x14ac:dyDescent="0.3"/>
  <cols>
    <col min="7" max="8" width="12" bestFit="1" customWidth="1"/>
    <col min="21" max="21" width="11" bestFit="1" customWidth="1"/>
    <col min="29" max="29" width="11" bestFit="1" customWidth="1"/>
    <col min="30" max="30" width="12" bestFit="1" customWidth="1"/>
  </cols>
  <sheetData>
    <row r="1" spans="1:30" ht="16.7" thickBot="1" x14ac:dyDescent="0.35">
      <c r="A1" s="7" t="s">
        <v>28</v>
      </c>
    </row>
    <row r="2" spans="1:30" ht="15" thickBot="1" x14ac:dyDescent="0.35">
      <c r="A2" s="8" t="s">
        <v>29</v>
      </c>
      <c r="B2" s="9">
        <v>1180</v>
      </c>
    </row>
    <row r="3" spans="1:30" ht="15" thickBot="1" x14ac:dyDescent="0.35">
      <c r="A3" s="10" t="s">
        <v>30</v>
      </c>
      <c r="B3" s="11">
        <v>810</v>
      </c>
    </row>
    <row r="4" spans="1:30" ht="15" thickBot="1" x14ac:dyDescent="0.35">
      <c r="A4" s="10" t="s">
        <v>31</v>
      </c>
      <c r="B4" s="11">
        <v>50</v>
      </c>
    </row>
    <row r="5" spans="1:30" ht="15" thickBot="1" x14ac:dyDescent="0.35">
      <c r="A5" s="10" t="s">
        <v>32</v>
      </c>
      <c r="B5" s="11">
        <v>46</v>
      </c>
    </row>
    <row r="6" spans="1:30" ht="16.149999999999999" x14ac:dyDescent="0.35">
      <c r="A6" s="12"/>
      <c r="B6" s="13">
        <v>2086</v>
      </c>
    </row>
    <row r="7" spans="1:30" ht="16.149999999999999" x14ac:dyDescent="0.3">
      <c r="A7" s="14"/>
    </row>
    <row r="8" spans="1:30" ht="16.149999999999999" x14ac:dyDescent="0.3">
      <c r="A8" s="7" t="s">
        <v>33</v>
      </c>
    </row>
    <row r="9" spans="1:30" ht="16.7" thickBot="1" x14ac:dyDescent="0.35">
      <c r="A9" s="15" t="s">
        <v>34</v>
      </c>
      <c r="Q9">
        <v>2023</v>
      </c>
    </row>
    <row r="10" spans="1:30" ht="16.7" thickBot="1" x14ac:dyDescent="0.35">
      <c r="A10" s="16"/>
      <c r="B10" s="17" t="s">
        <v>35</v>
      </c>
      <c r="C10" s="17" t="s">
        <v>29</v>
      </c>
      <c r="D10" s="17" t="s">
        <v>30</v>
      </c>
      <c r="E10" s="17" t="s">
        <v>31</v>
      </c>
      <c r="F10" s="17" t="s">
        <v>32</v>
      </c>
      <c r="G10" s="22" t="s">
        <v>37</v>
      </c>
      <c r="H10" s="22" t="s">
        <v>38</v>
      </c>
      <c r="I10" s="22" t="s">
        <v>39</v>
      </c>
      <c r="J10" s="22" t="s">
        <v>40</v>
      </c>
      <c r="K10" s="22" t="s">
        <v>41</v>
      </c>
      <c r="L10" s="22" t="s">
        <v>42</v>
      </c>
      <c r="Y10" s="3" t="s">
        <v>22</v>
      </c>
      <c r="Z10" s="3" t="s">
        <v>24</v>
      </c>
      <c r="AA10" s="3" t="s">
        <v>26</v>
      </c>
      <c r="AB10" s="3" t="s">
        <v>27</v>
      </c>
    </row>
    <row r="11" spans="1:30" ht="16.7" thickBot="1" x14ac:dyDescent="0.35">
      <c r="A11" s="18" t="s">
        <v>1</v>
      </c>
      <c r="B11" s="19">
        <v>15</v>
      </c>
      <c r="C11" s="19">
        <v>0</v>
      </c>
      <c r="D11" s="19">
        <v>0</v>
      </c>
      <c r="E11" s="19">
        <v>8</v>
      </c>
      <c r="F11" s="19">
        <v>7</v>
      </c>
      <c r="G11" s="23">
        <f>SUM(E11+C11)/(SUM(C$11:C$30)+SUM(E$11:E$30))</f>
        <v>7.2007200720072004E-3</v>
      </c>
      <c r="H11" s="23">
        <f>SUM(F11+D11)/(SUM(D$11:D$30)+SUM(F$11:F$30))</f>
        <v>9.126466753585397E-3</v>
      </c>
      <c r="I11">
        <v>1.6483516483516484E-2</v>
      </c>
      <c r="J11">
        <v>1.912568306010929E-2</v>
      </c>
      <c r="K11">
        <v>1.1477230655312847E-2</v>
      </c>
      <c r="L11">
        <v>1.7699115044247787E-2</v>
      </c>
      <c r="Q11" s="6">
        <v>0</v>
      </c>
      <c r="R11" s="1">
        <v>0</v>
      </c>
      <c r="S11" s="1">
        <v>9</v>
      </c>
      <c r="T11" s="1">
        <v>7</v>
      </c>
      <c r="U11">
        <f>SUM(S11+Q11)/(SUM(Q$11:Q$31)+SUM(S$11:S$31))</f>
        <v>1.6483516483516484E-2</v>
      </c>
      <c r="V11">
        <f>SUM(T11+R11)/(SUM(R$11:R$31)+SUM(T$11:T$31))</f>
        <v>1.912568306010929E-2</v>
      </c>
      <c r="Y11" s="6">
        <v>0</v>
      </c>
      <c r="Z11" s="1">
        <v>0</v>
      </c>
      <c r="AA11" s="1">
        <v>31</v>
      </c>
      <c r="AB11" s="1">
        <v>28</v>
      </c>
      <c r="AC11">
        <f>SUM(AA11+Y11)/(SUM(Y$11:Y$31)+SUM(AA$11:AA$31))</f>
        <v>1.1477230655312847E-2</v>
      </c>
      <c r="AD11">
        <f>SUM(AB11+Z11)/(SUM(Z$11:Z$31)+SUM(AB$11:AB$31))</f>
        <v>1.7699115044247787E-2</v>
      </c>
    </row>
    <row r="12" spans="1:30" ht="16.7" thickBot="1" x14ac:dyDescent="0.35">
      <c r="A12" s="20">
        <v>46151</v>
      </c>
      <c r="B12" s="19">
        <v>22</v>
      </c>
      <c r="C12" s="19">
        <v>0</v>
      </c>
      <c r="D12" s="19">
        <v>0</v>
      </c>
      <c r="E12" s="19">
        <v>12</v>
      </c>
      <c r="F12" s="19">
        <v>10</v>
      </c>
      <c r="G12" s="23">
        <f t="shared" ref="G12:G30" si="0">SUM(E12+C12)/(SUM(C$11:C$30)+SUM(E$11:E$30))</f>
        <v>1.0801080108010801E-2</v>
      </c>
      <c r="H12" s="23">
        <f t="shared" ref="H12:H30" si="1">SUM(F12+D12)/(SUM(D$11:D$30)+SUM(F$11:F$30))</f>
        <v>1.303780964797914E-2</v>
      </c>
      <c r="I12">
        <v>1.098901098901099E-2</v>
      </c>
      <c r="J12">
        <v>1.092896174863388E-2</v>
      </c>
      <c r="K12">
        <v>1.554979637171418E-2</v>
      </c>
      <c r="L12">
        <v>3.2237673830594185E-2</v>
      </c>
      <c r="Q12" s="6">
        <v>0</v>
      </c>
      <c r="R12" s="1">
        <v>0</v>
      </c>
      <c r="S12" s="1">
        <v>6</v>
      </c>
      <c r="T12" s="1">
        <v>4</v>
      </c>
      <c r="U12">
        <f t="shared" ref="U12:U31" si="2">SUM(S12+Q12)/(SUM(Q$11:Q$31)+SUM(S$11:S$31))</f>
        <v>1.098901098901099E-2</v>
      </c>
      <c r="V12">
        <f t="shared" ref="V12:V31" si="3">SUM(T12+R12)/(SUM(R$11:R$31)+SUM(T$11:T$31))</f>
        <v>1.092896174863388E-2</v>
      </c>
      <c r="Y12" s="6">
        <v>0</v>
      </c>
      <c r="Z12" s="1">
        <v>0</v>
      </c>
      <c r="AA12" s="1">
        <v>42</v>
      </c>
      <c r="AB12" s="1">
        <v>51</v>
      </c>
      <c r="AC12">
        <f t="shared" ref="AC12:AC31" si="4">SUM(AA12+Y12)/(SUM(Y$11:Y$31)+SUM(AA$11:AA$31))</f>
        <v>1.554979637171418E-2</v>
      </c>
      <c r="AD12">
        <f t="shared" ref="AD12:AD31" si="5">SUM(AB12+Z12)/(SUM(Z$11:Z$31)+SUM(AB$11:AB$31))</f>
        <v>3.2237673830594185E-2</v>
      </c>
    </row>
    <row r="13" spans="1:30" ht="16.7" thickBot="1" x14ac:dyDescent="0.35">
      <c r="A13" s="20">
        <v>46309</v>
      </c>
      <c r="B13" s="19">
        <v>38</v>
      </c>
      <c r="C13" s="19">
        <v>0</v>
      </c>
      <c r="D13" s="19">
        <v>0</v>
      </c>
      <c r="E13" s="19">
        <v>18</v>
      </c>
      <c r="F13" s="19">
        <v>20</v>
      </c>
      <c r="G13" s="23">
        <f t="shared" si="0"/>
        <v>1.6201620162016202E-2</v>
      </c>
      <c r="H13" s="23">
        <f t="shared" si="1"/>
        <v>2.607561929595828E-2</v>
      </c>
      <c r="I13">
        <v>1.4652014652014652E-2</v>
      </c>
      <c r="J13">
        <v>2.4590163934426229E-2</v>
      </c>
      <c r="K13">
        <v>3.4061458718992965E-2</v>
      </c>
      <c r="L13">
        <v>3.6662452591656132E-2</v>
      </c>
      <c r="Q13" s="6">
        <v>0</v>
      </c>
      <c r="R13" s="1">
        <v>0</v>
      </c>
      <c r="S13" s="1">
        <v>8</v>
      </c>
      <c r="T13" s="1">
        <v>9</v>
      </c>
      <c r="U13">
        <f t="shared" si="2"/>
        <v>1.4652014652014652E-2</v>
      </c>
      <c r="V13">
        <f t="shared" si="3"/>
        <v>2.4590163934426229E-2</v>
      </c>
      <c r="Y13" s="6">
        <v>0</v>
      </c>
      <c r="Z13" s="1">
        <v>0</v>
      </c>
      <c r="AA13" s="1">
        <v>92</v>
      </c>
      <c r="AB13" s="1">
        <v>58</v>
      </c>
      <c r="AC13">
        <f t="shared" si="4"/>
        <v>3.4061458718992965E-2</v>
      </c>
      <c r="AD13">
        <f t="shared" si="5"/>
        <v>3.6662452591656132E-2</v>
      </c>
    </row>
    <row r="14" spans="1:30" ht="16.7" thickBot="1" x14ac:dyDescent="0.35">
      <c r="A14" s="18" t="s">
        <v>2</v>
      </c>
      <c r="B14" s="19">
        <v>36</v>
      </c>
      <c r="C14" s="19">
        <v>10</v>
      </c>
      <c r="D14" s="19">
        <v>6</v>
      </c>
      <c r="E14" s="19">
        <v>11</v>
      </c>
      <c r="F14" s="19">
        <v>9</v>
      </c>
      <c r="G14" s="23">
        <f t="shared" si="0"/>
        <v>1.8901890189018902E-2</v>
      </c>
      <c r="H14" s="23">
        <f t="shared" si="1"/>
        <v>1.955671447196871E-2</v>
      </c>
      <c r="I14">
        <v>3.2967032967032968E-2</v>
      </c>
      <c r="J14">
        <v>3.5519125683060107E-2</v>
      </c>
      <c r="K14">
        <v>3.9244724176231024E-2</v>
      </c>
      <c r="L14">
        <v>4.3615676359039193E-2</v>
      </c>
      <c r="Q14" s="6">
        <v>9</v>
      </c>
      <c r="R14" s="1">
        <v>4</v>
      </c>
      <c r="S14" s="1">
        <v>9</v>
      </c>
      <c r="T14" s="1">
        <v>9</v>
      </c>
      <c r="U14">
        <f t="shared" si="2"/>
        <v>3.2967032967032968E-2</v>
      </c>
      <c r="V14">
        <f t="shared" si="3"/>
        <v>3.5519125683060107E-2</v>
      </c>
      <c r="Y14" s="6">
        <v>33</v>
      </c>
      <c r="Z14" s="1">
        <v>18</v>
      </c>
      <c r="AA14" s="1">
        <v>73</v>
      </c>
      <c r="AB14" s="1">
        <v>51</v>
      </c>
      <c r="AC14">
        <f t="shared" si="4"/>
        <v>3.9244724176231024E-2</v>
      </c>
      <c r="AD14">
        <f t="shared" si="5"/>
        <v>4.3615676359039193E-2</v>
      </c>
    </row>
    <row r="15" spans="1:30" ht="16.7" thickBot="1" x14ac:dyDescent="0.35">
      <c r="A15" s="18" t="s">
        <v>3</v>
      </c>
      <c r="B15" s="19">
        <v>35</v>
      </c>
      <c r="C15" s="19">
        <v>24</v>
      </c>
      <c r="D15" s="19">
        <v>11</v>
      </c>
      <c r="E15" s="19">
        <v>0</v>
      </c>
      <c r="F15" s="19">
        <v>0</v>
      </c>
      <c r="G15" s="23">
        <f t="shared" si="0"/>
        <v>2.1602160216021602E-2</v>
      </c>
      <c r="H15" s="23">
        <f t="shared" si="1"/>
        <v>1.4341590612777053E-2</v>
      </c>
      <c r="I15">
        <v>3.6630036630036632E-2</v>
      </c>
      <c r="J15">
        <v>2.7322404371584699E-2</v>
      </c>
      <c r="K15">
        <v>3.1099592743428359E-2</v>
      </c>
      <c r="L15">
        <v>2.9709228824273071E-2</v>
      </c>
      <c r="Q15" s="6">
        <v>20</v>
      </c>
      <c r="R15" s="1">
        <v>10</v>
      </c>
      <c r="S15" s="1">
        <v>0</v>
      </c>
      <c r="T15" s="1">
        <v>0</v>
      </c>
      <c r="U15">
        <f t="shared" si="2"/>
        <v>3.6630036630036632E-2</v>
      </c>
      <c r="V15">
        <f t="shared" si="3"/>
        <v>2.7322404371584699E-2</v>
      </c>
      <c r="Y15" s="6">
        <v>84</v>
      </c>
      <c r="Z15" s="1">
        <v>47</v>
      </c>
      <c r="AA15" s="1">
        <v>0</v>
      </c>
      <c r="AB15" s="1">
        <v>0</v>
      </c>
      <c r="AC15">
        <f t="shared" si="4"/>
        <v>3.1099592743428359E-2</v>
      </c>
      <c r="AD15">
        <f t="shared" si="5"/>
        <v>2.9709228824273071E-2</v>
      </c>
    </row>
    <row r="16" spans="1:30" ht="16.7" thickBot="1" x14ac:dyDescent="0.35">
      <c r="A16" s="18" t="s">
        <v>4</v>
      </c>
      <c r="B16" s="19">
        <v>59</v>
      </c>
      <c r="C16" s="19">
        <v>41</v>
      </c>
      <c r="D16" s="19">
        <v>18</v>
      </c>
      <c r="E16" s="19">
        <v>0</v>
      </c>
      <c r="F16" s="19">
        <v>0</v>
      </c>
      <c r="G16" s="23">
        <f t="shared" si="0"/>
        <v>3.6903690369036901E-2</v>
      </c>
      <c r="H16" s="23">
        <f t="shared" si="1"/>
        <v>2.3468057366362451E-2</v>
      </c>
      <c r="I16">
        <v>4.3956043956043959E-2</v>
      </c>
      <c r="J16">
        <v>2.7322404371584699E-2</v>
      </c>
      <c r="K16">
        <v>3.9244724176231024E-2</v>
      </c>
      <c r="L16">
        <v>3.0973451327433628E-2</v>
      </c>
      <c r="Q16" s="6">
        <v>24</v>
      </c>
      <c r="R16" s="1">
        <v>10</v>
      </c>
      <c r="S16" s="1">
        <v>0</v>
      </c>
      <c r="T16" s="1">
        <v>0</v>
      </c>
      <c r="U16">
        <f t="shared" si="2"/>
        <v>4.3956043956043959E-2</v>
      </c>
      <c r="V16">
        <f t="shared" si="3"/>
        <v>2.7322404371584699E-2</v>
      </c>
      <c r="Y16" s="6">
        <v>106</v>
      </c>
      <c r="Z16" s="1">
        <v>49</v>
      </c>
      <c r="AA16" s="1">
        <v>0</v>
      </c>
      <c r="AB16" s="1">
        <v>0</v>
      </c>
      <c r="AC16">
        <f t="shared" si="4"/>
        <v>3.9244724176231024E-2</v>
      </c>
      <c r="AD16">
        <f t="shared" si="5"/>
        <v>3.0973451327433628E-2</v>
      </c>
    </row>
    <row r="17" spans="1:30" ht="16.7" thickBot="1" x14ac:dyDescent="0.35">
      <c r="A17" s="18" t="s">
        <v>5</v>
      </c>
      <c r="B17" s="19">
        <v>94</v>
      </c>
      <c r="C17" s="19">
        <v>73</v>
      </c>
      <c r="D17" s="19">
        <v>21</v>
      </c>
      <c r="E17" s="19">
        <v>0</v>
      </c>
      <c r="F17" s="19">
        <v>0</v>
      </c>
      <c r="G17" s="23">
        <f t="shared" si="0"/>
        <v>6.5706570657065713E-2</v>
      </c>
      <c r="H17" s="23">
        <f t="shared" si="1"/>
        <v>2.7379400260756193E-2</v>
      </c>
      <c r="I17">
        <v>8.608058608058608E-2</v>
      </c>
      <c r="J17">
        <v>4.9180327868852458E-2</v>
      </c>
      <c r="K17">
        <v>7.2195483154387258E-2</v>
      </c>
      <c r="L17">
        <v>4.4247787610619468E-2</v>
      </c>
      <c r="Q17" s="6">
        <v>47</v>
      </c>
      <c r="R17" s="6">
        <v>18</v>
      </c>
      <c r="S17" s="1">
        <v>0</v>
      </c>
      <c r="T17" s="1">
        <v>0</v>
      </c>
      <c r="U17">
        <f t="shared" si="2"/>
        <v>8.608058608058608E-2</v>
      </c>
      <c r="V17">
        <f t="shared" si="3"/>
        <v>4.9180327868852458E-2</v>
      </c>
      <c r="Y17" s="6">
        <v>195</v>
      </c>
      <c r="Z17" s="6">
        <v>70</v>
      </c>
      <c r="AA17" s="1">
        <v>0</v>
      </c>
      <c r="AB17" s="1">
        <v>0</v>
      </c>
      <c r="AC17">
        <f t="shared" si="4"/>
        <v>7.2195483154387258E-2</v>
      </c>
      <c r="AD17">
        <f t="shared" si="5"/>
        <v>4.4247787610619468E-2</v>
      </c>
    </row>
    <row r="18" spans="1:30" ht="16.7" thickBot="1" x14ac:dyDescent="0.35">
      <c r="A18" s="18" t="s">
        <v>6</v>
      </c>
      <c r="B18" s="19">
        <v>150</v>
      </c>
      <c r="C18" s="19">
        <v>101</v>
      </c>
      <c r="D18" s="19">
        <v>49</v>
      </c>
      <c r="E18" s="19">
        <v>0</v>
      </c>
      <c r="F18" s="19">
        <v>0</v>
      </c>
      <c r="G18" s="23">
        <f t="shared" si="0"/>
        <v>9.0909090909090912E-2</v>
      </c>
      <c r="H18" s="23">
        <f t="shared" si="1"/>
        <v>6.3885267275097787E-2</v>
      </c>
      <c r="I18">
        <v>8.608058608058608E-2</v>
      </c>
      <c r="J18">
        <v>4.6448087431693992E-2</v>
      </c>
      <c r="K18">
        <v>0.10107367641614216</v>
      </c>
      <c r="L18">
        <v>5.2465233881163087E-2</v>
      </c>
      <c r="Q18" s="6">
        <v>47</v>
      </c>
      <c r="R18" s="6">
        <v>17</v>
      </c>
      <c r="S18" s="1">
        <v>0</v>
      </c>
      <c r="T18" s="1">
        <v>0</v>
      </c>
      <c r="U18">
        <f t="shared" si="2"/>
        <v>8.608058608058608E-2</v>
      </c>
      <c r="V18">
        <f t="shared" si="3"/>
        <v>4.6448087431693992E-2</v>
      </c>
      <c r="Y18" s="6">
        <v>273</v>
      </c>
      <c r="Z18" s="6">
        <v>83</v>
      </c>
      <c r="AA18" s="1">
        <v>0</v>
      </c>
      <c r="AB18" s="1">
        <v>0</v>
      </c>
      <c r="AC18">
        <f t="shared" si="4"/>
        <v>0.10107367641614216</v>
      </c>
      <c r="AD18">
        <f t="shared" si="5"/>
        <v>5.2465233881163087E-2</v>
      </c>
    </row>
    <row r="19" spans="1:30" ht="16.7" thickBot="1" x14ac:dyDescent="0.35">
      <c r="A19" s="18" t="s">
        <v>7</v>
      </c>
      <c r="B19" s="19">
        <v>172</v>
      </c>
      <c r="C19" s="19">
        <v>109</v>
      </c>
      <c r="D19" s="19">
        <v>63</v>
      </c>
      <c r="E19" s="19">
        <v>0</v>
      </c>
      <c r="F19" s="19">
        <v>0</v>
      </c>
      <c r="G19" s="23">
        <f t="shared" si="0"/>
        <v>9.8109810981098111E-2</v>
      </c>
      <c r="H19" s="23">
        <f t="shared" si="1"/>
        <v>8.2138200782268578E-2</v>
      </c>
      <c r="I19">
        <v>8.7912087912087919E-2</v>
      </c>
      <c r="J19">
        <v>7.1038251366120214E-2</v>
      </c>
      <c r="K19">
        <v>0.10255460940392447</v>
      </c>
      <c r="L19">
        <v>6.5107458912768645E-2</v>
      </c>
      <c r="Q19" s="6">
        <v>48</v>
      </c>
      <c r="R19" s="6">
        <v>26</v>
      </c>
      <c r="S19" s="1">
        <v>0</v>
      </c>
      <c r="T19" s="1">
        <v>0</v>
      </c>
      <c r="U19">
        <f t="shared" si="2"/>
        <v>8.7912087912087919E-2</v>
      </c>
      <c r="V19">
        <f t="shared" si="3"/>
        <v>7.1038251366120214E-2</v>
      </c>
      <c r="Y19" s="6">
        <v>277</v>
      </c>
      <c r="Z19" s="6">
        <v>103</v>
      </c>
      <c r="AA19" s="1">
        <v>0</v>
      </c>
      <c r="AB19" s="1">
        <v>0</v>
      </c>
      <c r="AC19">
        <f t="shared" si="4"/>
        <v>0.10255460940392447</v>
      </c>
      <c r="AD19">
        <f t="shared" si="5"/>
        <v>6.5107458912768645E-2</v>
      </c>
    </row>
    <row r="20" spans="1:30" ht="16.7" thickBot="1" x14ac:dyDescent="0.35">
      <c r="A20" s="18" t="s">
        <v>8</v>
      </c>
      <c r="B20" s="19">
        <v>165</v>
      </c>
      <c r="C20" s="19">
        <v>110</v>
      </c>
      <c r="D20" s="19">
        <v>55</v>
      </c>
      <c r="E20" s="19">
        <v>0</v>
      </c>
      <c r="F20" s="19">
        <v>0</v>
      </c>
      <c r="G20" s="23">
        <f t="shared" si="0"/>
        <v>9.9009900990099015E-2</v>
      </c>
      <c r="H20" s="23">
        <f t="shared" si="1"/>
        <v>7.1707953063885263E-2</v>
      </c>
      <c r="I20">
        <v>0.10622710622710622</v>
      </c>
      <c r="J20">
        <v>6.5573770491803282E-2</v>
      </c>
      <c r="K20">
        <v>0.11292114031840059</v>
      </c>
      <c r="L20">
        <v>6.2579013906447531E-2</v>
      </c>
      <c r="Q20" s="6">
        <v>58</v>
      </c>
      <c r="R20" s="1">
        <v>24</v>
      </c>
      <c r="S20" s="1">
        <v>0</v>
      </c>
      <c r="T20" s="1">
        <v>0</v>
      </c>
      <c r="U20">
        <f t="shared" si="2"/>
        <v>0.10622710622710622</v>
      </c>
      <c r="V20">
        <f t="shared" si="3"/>
        <v>6.5573770491803282E-2</v>
      </c>
      <c r="Y20" s="6">
        <v>305</v>
      </c>
      <c r="Z20" s="1">
        <v>99</v>
      </c>
      <c r="AA20" s="1">
        <v>0</v>
      </c>
      <c r="AB20" s="1">
        <v>0</v>
      </c>
      <c r="AC20">
        <f t="shared" si="4"/>
        <v>0.11292114031840059</v>
      </c>
      <c r="AD20">
        <f t="shared" si="5"/>
        <v>6.2579013906447531E-2</v>
      </c>
    </row>
    <row r="21" spans="1:30" ht="16.7" thickBot="1" x14ac:dyDescent="0.35">
      <c r="A21" s="18" t="s">
        <v>9</v>
      </c>
      <c r="B21" s="19">
        <v>164</v>
      </c>
      <c r="C21" s="19">
        <v>102</v>
      </c>
      <c r="D21" s="19">
        <v>62</v>
      </c>
      <c r="E21" s="19">
        <v>0</v>
      </c>
      <c r="F21" s="19">
        <v>0</v>
      </c>
      <c r="G21" s="23">
        <f t="shared" si="0"/>
        <v>9.1809180918091815E-2</v>
      </c>
      <c r="H21" s="23">
        <f t="shared" si="1"/>
        <v>8.0834419817470665E-2</v>
      </c>
      <c r="I21">
        <v>0.10073260073260074</v>
      </c>
      <c r="J21">
        <v>8.7431693989071038E-2</v>
      </c>
      <c r="K21">
        <v>9.1447611995557204E-2</v>
      </c>
      <c r="L21">
        <v>7.7117572692793929E-2</v>
      </c>
      <c r="Q21" s="6">
        <v>55</v>
      </c>
      <c r="R21" s="1">
        <v>32</v>
      </c>
      <c r="S21" s="1">
        <v>0</v>
      </c>
      <c r="T21" s="1">
        <v>0</v>
      </c>
      <c r="U21">
        <f t="shared" si="2"/>
        <v>0.10073260073260074</v>
      </c>
      <c r="V21">
        <f t="shared" si="3"/>
        <v>8.7431693989071038E-2</v>
      </c>
      <c r="Y21" s="6">
        <v>247</v>
      </c>
      <c r="Z21" s="1">
        <v>122</v>
      </c>
      <c r="AA21" s="1">
        <v>0</v>
      </c>
      <c r="AB21" s="1">
        <v>0</v>
      </c>
      <c r="AC21">
        <f t="shared" si="4"/>
        <v>9.1447611995557204E-2</v>
      </c>
      <c r="AD21">
        <f t="shared" si="5"/>
        <v>7.7117572692793929E-2</v>
      </c>
    </row>
    <row r="22" spans="1:30" ht="16.7" thickBot="1" x14ac:dyDescent="0.35">
      <c r="A22" s="18" t="s">
        <v>10</v>
      </c>
      <c r="B22" s="19">
        <v>188</v>
      </c>
      <c r="C22" s="19">
        <v>113</v>
      </c>
      <c r="D22" s="19">
        <v>75</v>
      </c>
      <c r="E22" s="19">
        <v>0</v>
      </c>
      <c r="F22" s="19">
        <v>0</v>
      </c>
      <c r="G22" s="23">
        <f t="shared" si="0"/>
        <v>0.10171017101710171</v>
      </c>
      <c r="H22" s="23">
        <f t="shared" si="1"/>
        <v>9.7783572359843543E-2</v>
      </c>
      <c r="I22">
        <v>8.608058608058608E-2</v>
      </c>
      <c r="J22">
        <v>9.2896174863387984E-2</v>
      </c>
      <c r="K22">
        <v>9.1077378748611632E-2</v>
      </c>
      <c r="L22">
        <v>8.1542351453855882E-2</v>
      </c>
      <c r="Q22" s="6">
        <v>47</v>
      </c>
      <c r="R22" s="1">
        <v>34</v>
      </c>
      <c r="S22" s="1">
        <v>0</v>
      </c>
      <c r="T22" s="1">
        <v>0</v>
      </c>
      <c r="U22">
        <f t="shared" si="2"/>
        <v>8.608058608058608E-2</v>
      </c>
      <c r="V22">
        <f t="shared" si="3"/>
        <v>9.2896174863387984E-2</v>
      </c>
      <c r="Y22" s="6">
        <v>246</v>
      </c>
      <c r="Z22" s="1">
        <v>129</v>
      </c>
      <c r="AA22" s="1">
        <v>0</v>
      </c>
      <c r="AB22" s="1">
        <v>0</v>
      </c>
      <c r="AC22">
        <f t="shared" si="4"/>
        <v>9.1077378748611632E-2</v>
      </c>
      <c r="AD22">
        <f t="shared" si="5"/>
        <v>8.1542351453855882E-2</v>
      </c>
    </row>
    <row r="23" spans="1:30" ht="16.7" thickBot="1" x14ac:dyDescent="0.35">
      <c r="A23" s="18" t="s">
        <v>11</v>
      </c>
      <c r="B23" s="19">
        <v>215</v>
      </c>
      <c r="C23" s="19">
        <v>126</v>
      </c>
      <c r="D23" s="19">
        <v>89</v>
      </c>
      <c r="E23" s="19">
        <v>0</v>
      </c>
      <c r="F23" s="19">
        <v>0</v>
      </c>
      <c r="G23" s="23">
        <f t="shared" si="0"/>
        <v>0.11341134113411341</v>
      </c>
      <c r="H23" s="23">
        <f t="shared" si="1"/>
        <v>0.11603650586701435</v>
      </c>
      <c r="I23">
        <v>0.1043956043956044</v>
      </c>
      <c r="J23">
        <v>0.14207650273224043</v>
      </c>
      <c r="K23">
        <v>8.6634579785264718E-2</v>
      </c>
      <c r="L23">
        <v>7.5221238938053103E-2</v>
      </c>
      <c r="Q23" s="1">
        <v>57</v>
      </c>
      <c r="R23" s="1">
        <v>52</v>
      </c>
      <c r="S23" s="1">
        <v>0</v>
      </c>
      <c r="T23" s="1">
        <v>0</v>
      </c>
      <c r="U23">
        <f t="shared" si="2"/>
        <v>0.1043956043956044</v>
      </c>
      <c r="V23">
        <f t="shared" si="3"/>
        <v>0.14207650273224043</v>
      </c>
      <c r="Y23" s="1">
        <v>234</v>
      </c>
      <c r="Z23" s="1">
        <v>119</v>
      </c>
      <c r="AA23" s="1">
        <v>0</v>
      </c>
      <c r="AB23" s="1">
        <v>0</v>
      </c>
      <c r="AC23">
        <f t="shared" si="4"/>
        <v>8.6634579785264718E-2</v>
      </c>
      <c r="AD23">
        <f t="shared" si="5"/>
        <v>7.5221238938053103E-2</v>
      </c>
    </row>
    <row r="24" spans="1:30" ht="16.7" thickBot="1" x14ac:dyDescent="0.35">
      <c r="A24" s="18" t="s">
        <v>12</v>
      </c>
      <c r="B24" s="19">
        <v>197</v>
      </c>
      <c r="C24" s="19">
        <v>109</v>
      </c>
      <c r="D24" s="19">
        <v>88</v>
      </c>
      <c r="E24" s="19">
        <v>0</v>
      </c>
      <c r="F24" s="19">
        <v>0</v>
      </c>
      <c r="G24" s="23">
        <f t="shared" si="0"/>
        <v>9.8109810981098111E-2</v>
      </c>
      <c r="H24" s="23">
        <f t="shared" si="1"/>
        <v>0.11473272490221642</v>
      </c>
      <c r="I24">
        <v>9.1575091575091569E-2</v>
      </c>
      <c r="J24">
        <v>0.10109289617486339</v>
      </c>
      <c r="K24">
        <v>6.3309885227693444E-2</v>
      </c>
      <c r="L24">
        <v>8.4702907711757272E-2</v>
      </c>
      <c r="Q24" s="1">
        <v>50</v>
      </c>
      <c r="R24" s="1">
        <v>37</v>
      </c>
      <c r="S24" s="1">
        <v>0</v>
      </c>
      <c r="T24" s="1">
        <v>0</v>
      </c>
      <c r="U24">
        <f t="shared" si="2"/>
        <v>9.1575091575091569E-2</v>
      </c>
      <c r="V24">
        <f t="shared" si="3"/>
        <v>0.10109289617486339</v>
      </c>
      <c r="Y24" s="1">
        <v>171</v>
      </c>
      <c r="Z24" s="1">
        <v>134</v>
      </c>
      <c r="AA24" s="1">
        <v>0</v>
      </c>
      <c r="AB24" s="1">
        <v>0</v>
      </c>
      <c r="AC24">
        <f t="shared" si="4"/>
        <v>6.3309885227693444E-2</v>
      </c>
      <c r="AD24">
        <f t="shared" si="5"/>
        <v>8.4702907711757272E-2</v>
      </c>
    </row>
    <row r="25" spans="1:30" ht="16.7" thickBot="1" x14ac:dyDescent="0.35">
      <c r="A25" s="18" t="s">
        <v>13</v>
      </c>
      <c r="B25" s="19">
        <v>167</v>
      </c>
      <c r="C25" s="19">
        <v>87</v>
      </c>
      <c r="D25" s="19">
        <v>80</v>
      </c>
      <c r="E25" s="19">
        <v>0</v>
      </c>
      <c r="F25" s="19">
        <v>0</v>
      </c>
      <c r="G25" s="23">
        <f t="shared" si="0"/>
        <v>7.8307830783078305E-2</v>
      </c>
      <c r="H25" s="23">
        <f t="shared" si="1"/>
        <v>0.10430247718383312</v>
      </c>
      <c r="I25">
        <v>6.5934065934065936E-2</v>
      </c>
      <c r="J25">
        <v>0.11202185792349727</v>
      </c>
      <c r="K25">
        <v>5.1092188078489448E-2</v>
      </c>
      <c r="L25">
        <v>8.2806573957016433E-2</v>
      </c>
      <c r="Q25" s="1">
        <v>36</v>
      </c>
      <c r="R25" s="1">
        <v>41</v>
      </c>
      <c r="S25" s="1">
        <v>0</v>
      </c>
      <c r="T25" s="1">
        <v>0</v>
      </c>
      <c r="U25">
        <f t="shared" si="2"/>
        <v>6.5934065934065936E-2</v>
      </c>
      <c r="V25">
        <f t="shared" si="3"/>
        <v>0.11202185792349727</v>
      </c>
      <c r="Y25" s="1">
        <v>138</v>
      </c>
      <c r="Z25" s="1">
        <v>131</v>
      </c>
      <c r="AA25" s="1">
        <v>0</v>
      </c>
      <c r="AB25" s="1">
        <v>0</v>
      </c>
      <c r="AC25">
        <f t="shared" si="4"/>
        <v>5.1092188078489448E-2</v>
      </c>
      <c r="AD25">
        <f t="shared" si="5"/>
        <v>8.2806573957016433E-2</v>
      </c>
    </row>
    <row r="26" spans="1:30" ht="16.7" thickBot="1" x14ac:dyDescent="0.35">
      <c r="A26" s="18" t="s">
        <v>14</v>
      </c>
      <c r="B26" s="19">
        <v>75</v>
      </c>
      <c r="C26" s="19">
        <v>31</v>
      </c>
      <c r="D26" s="19">
        <v>44</v>
      </c>
      <c r="E26" s="19">
        <v>0</v>
      </c>
      <c r="F26" s="19">
        <v>0</v>
      </c>
      <c r="G26" s="23">
        <f t="shared" si="0"/>
        <v>2.7902790279027902E-2</v>
      </c>
      <c r="H26" s="23">
        <f t="shared" si="1"/>
        <v>5.736636245110821E-2</v>
      </c>
      <c r="I26">
        <v>1.4652014652014652E-2</v>
      </c>
      <c r="J26">
        <v>3.0054644808743168E-2</v>
      </c>
      <c r="K26">
        <v>2.2954461310625694E-2</v>
      </c>
      <c r="L26">
        <v>5.2465233881163087E-2</v>
      </c>
      <c r="Q26" s="1">
        <v>8</v>
      </c>
      <c r="R26" s="1">
        <v>11</v>
      </c>
      <c r="S26" s="1">
        <v>0</v>
      </c>
      <c r="T26" s="1">
        <v>0</v>
      </c>
      <c r="U26">
        <f t="shared" si="2"/>
        <v>1.4652014652014652E-2</v>
      </c>
      <c r="V26">
        <f t="shared" si="3"/>
        <v>3.0054644808743168E-2</v>
      </c>
      <c r="Y26" s="1">
        <v>62</v>
      </c>
      <c r="Z26" s="1">
        <v>83</v>
      </c>
      <c r="AA26" s="1">
        <v>0</v>
      </c>
      <c r="AB26" s="1">
        <v>0</v>
      </c>
      <c r="AC26">
        <f t="shared" si="4"/>
        <v>2.2954461310625694E-2</v>
      </c>
      <c r="AD26">
        <f t="shared" si="5"/>
        <v>5.2465233881163087E-2</v>
      </c>
    </row>
    <row r="27" spans="1:30" ht="16.7" thickBot="1" x14ac:dyDescent="0.35">
      <c r="A27" s="18" t="s">
        <v>15</v>
      </c>
      <c r="B27" s="19">
        <v>46</v>
      </c>
      <c r="C27" s="19">
        <v>14</v>
      </c>
      <c r="D27" s="19">
        <v>32</v>
      </c>
      <c r="E27" s="19">
        <v>0</v>
      </c>
      <c r="F27" s="19">
        <v>0</v>
      </c>
      <c r="G27" s="23">
        <f t="shared" si="0"/>
        <v>1.2601260126012601E-2</v>
      </c>
      <c r="H27" s="23">
        <f t="shared" si="1"/>
        <v>4.1720990873533245E-2</v>
      </c>
      <c r="I27">
        <v>9.1575091575091579E-3</v>
      </c>
      <c r="J27">
        <v>2.4590163934426229E-2</v>
      </c>
      <c r="K27">
        <v>2.2584228063680118E-2</v>
      </c>
      <c r="L27">
        <v>7.0796460176991149E-2</v>
      </c>
      <c r="Q27" s="6">
        <v>5</v>
      </c>
      <c r="R27" s="1">
        <v>9</v>
      </c>
      <c r="S27" s="1">
        <v>0</v>
      </c>
      <c r="T27" s="1">
        <v>0</v>
      </c>
      <c r="U27">
        <f t="shared" si="2"/>
        <v>9.1575091575091579E-3</v>
      </c>
      <c r="V27">
        <f t="shared" si="3"/>
        <v>2.4590163934426229E-2</v>
      </c>
      <c r="Y27" s="6">
        <v>61</v>
      </c>
      <c r="Z27" s="1">
        <v>112</v>
      </c>
      <c r="AA27" s="1">
        <v>0</v>
      </c>
      <c r="AB27" s="1">
        <v>0</v>
      </c>
      <c r="AC27">
        <f t="shared" si="4"/>
        <v>2.2584228063680118E-2</v>
      </c>
      <c r="AD27">
        <f t="shared" si="5"/>
        <v>7.0796460176991149E-2</v>
      </c>
    </row>
    <row r="28" spans="1:30" ht="16.7" thickBot="1" x14ac:dyDescent="0.35">
      <c r="A28" s="18" t="s">
        <v>16</v>
      </c>
      <c r="B28" s="19">
        <v>30</v>
      </c>
      <c r="C28" s="19">
        <v>12</v>
      </c>
      <c r="D28" s="19">
        <v>18</v>
      </c>
      <c r="E28" s="19">
        <v>0</v>
      </c>
      <c r="F28" s="19">
        <v>0</v>
      </c>
      <c r="G28" s="23">
        <f t="shared" si="0"/>
        <v>1.0801080108010801E-2</v>
      </c>
      <c r="H28" s="23">
        <f t="shared" si="1"/>
        <v>2.3468057366362451E-2</v>
      </c>
      <c r="I28">
        <v>3.663003663003663E-3</v>
      </c>
      <c r="J28">
        <v>2.7322404371584699E-2</v>
      </c>
      <c r="K28">
        <v>8.8855979266938175E-3</v>
      </c>
      <c r="L28">
        <v>3.9823008849557522E-2</v>
      </c>
      <c r="Q28" s="6">
        <v>2</v>
      </c>
      <c r="R28" s="1">
        <v>10</v>
      </c>
      <c r="S28" s="1">
        <v>0</v>
      </c>
      <c r="T28" s="1">
        <v>0</v>
      </c>
      <c r="U28">
        <f t="shared" si="2"/>
        <v>3.663003663003663E-3</v>
      </c>
      <c r="V28">
        <f t="shared" si="3"/>
        <v>2.7322404371584699E-2</v>
      </c>
      <c r="Y28" s="6">
        <v>24</v>
      </c>
      <c r="Z28" s="1">
        <v>63</v>
      </c>
      <c r="AA28" s="1">
        <v>0</v>
      </c>
      <c r="AB28" s="1">
        <v>0</v>
      </c>
      <c r="AC28">
        <f t="shared" si="4"/>
        <v>8.8855979266938175E-3</v>
      </c>
      <c r="AD28">
        <f t="shared" si="5"/>
        <v>3.9823008849557522E-2</v>
      </c>
    </row>
    <row r="29" spans="1:30" ht="16.7" thickBot="1" x14ac:dyDescent="0.35">
      <c r="A29" s="18" t="s">
        <v>17</v>
      </c>
      <c r="B29" s="19">
        <v>8</v>
      </c>
      <c r="C29" s="19">
        <v>0</v>
      </c>
      <c r="D29" s="19">
        <v>8</v>
      </c>
      <c r="E29" s="19">
        <v>0</v>
      </c>
      <c r="F29" s="19">
        <v>0</v>
      </c>
      <c r="G29" s="23">
        <f t="shared" si="0"/>
        <v>0</v>
      </c>
      <c r="H29" s="23">
        <f t="shared" si="1"/>
        <v>1.0430247718383311E-2</v>
      </c>
      <c r="I29">
        <v>1.8315018315018315E-3</v>
      </c>
      <c r="J29">
        <v>5.4644808743169399E-3</v>
      </c>
      <c r="K29">
        <v>1.4809329877823029E-3</v>
      </c>
      <c r="L29">
        <v>1.3906447534766119E-2</v>
      </c>
      <c r="Q29" s="6">
        <v>1</v>
      </c>
      <c r="R29" s="1">
        <v>2</v>
      </c>
      <c r="S29" s="1">
        <v>0</v>
      </c>
      <c r="T29" s="1">
        <v>0</v>
      </c>
      <c r="U29">
        <f t="shared" si="2"/>
        <v>1.8315018315018315E-3</v>
      </c>
      <c r="V29">
        <f t="shared" si="3"/>
        <v>5.4644808743169399E-3</v>
      </c>
      <c r="Y29" s="6">
        <v>4</v>
      </c>
      <c r="Z29" s="1">
        <v>22</v>
      </c>
      <c r="AA29" s="1">
        <v>0</v>
      </c>
      <c r="AB29" s="1">
        <v>0</v>
      </c>
      <c r="AC29">
        <f t="shared" si="4"/>
        <v>1.4809329877823029E-3</v>
      </c>
      <c r="AD29">
        <f t="shared" si="5"/>
        <v>1.3906447534766119E-2</v>
      </c>
    </row>
    <row r="30" spans="1:30" ht="16.7" thickBot="1" x14ac:dyDescent="0.35">
      <c r="A30" s="18" t="s">
        <v>36</v>
      </c>
      <c r="B30" s="19">
        <v>2</v>
      </c>
      <c r="C30" s="19">
        <v>0</v>
      </c>
      <c r="D30" s="19">
        <v>2</v>
      </c>
      <c r="E30" s="19">
        <v>0</v>
      </c>
      <c r="F30" s="19">
        <v>0</v>
      </c>
      <c r="G30" s="23">
        <f t="shared" si="0"/>
        <v>0</v>
      </c>
      <c r="H30" s="23">
        <f t="shared" si="1"/>
        <v>2.6075619295958278E-3</v>
      </c>
      <c r="I30">
        <v>0</v>
      </c>
      <c r="J30">
        <v>0</v>
      </c>
      <c r="K30">
        <v>1.1106997408367272E-3</v>
      </c>
      <c r="L30">
        <v>4.4247787610619468E-3</v>
      </c>
      <c r="Q30" s="6">
        <v>0</v>
      </c>
      <c r="R30" s="1">
        <v>0</v>
      </c>
      <c r="S30" s="1">
        <v>0</v>
      </c>
      <c r="T30" s="1">
        <v>0</v>
      </c>
      <c r="U30">
        <f t="shared" si="2"/>
        <v>0</v>
      </c>
      <c r="V30">
        <f t="shared" si="3"/>
        <v>0</v>
      </c>
      <c r="Y30" s="6">
        <v>3</v>
      </c>
      <c r="Z30" s="1">
        <v>7</v>
      </c>
      <c r="AA30" s="1">
        <v>0</v>
      </c>
      <c r="AB30" s="1">
        <v>0</v>
      </c>
      <c r="AC30">
        <f t="shared" si="4"/>
        <v>1.1106997408367272E-3</v>
      </c>
      <c r="AD30">
        <f t="shared" si="5"/>
        <v>4.4247787610619468E-3</v>
      </c>
    </row>
    <row r="31" spans="1:30" ht="16.7" thickBot="1" x14ac:dyDescent="0.35">
      <c r="A31" s="18" t="s">
        <v>19</v>
      </c>
      <c r="I31">
        <v>0</v>
      </c>
      <c r="J31">
        <v>0</v>
      </c>
      <c r="K31">
        <v>0</v>
      </c>
      <c r="L31">
        <v>1.8963337547408343E-3</v>
      </c>
      <c r="Q31" s="6">
        <v>0</v>
      </c>
      <c r="R31" s="1">
        <v>0</v>
      </c>
      <c r="S31" s="1">
        <v>0</v>
      </c>
      <c r="T31" s="1">
        <v>0</v>
      </c>
      <c r="U31">
        <f t="shared" si="2"/>
        <v>0</v>
      </c>
      <c r="V31">
        <f t="shared" si="3"/>
        <v>0</v>
      </c>
      <c r="Y31" s="6">
        <v>0</v>
      </c>
      <c r="Z31" s="1">
        <v>3</v>
      </c>
      <c r="AA31" s="1">
        <v>0</v>
      </c>
      <c r="AB31" s="1">
        <v>0</v>
      </c>
      <c r="AC31">
        <f t="shared" si="4"/>
        <v>0</v>
      </c>
      <c r="AD31">
        <f t="shared" si="5"/>
        <v>1.8963337547408343E-3</v>
      </c>
    </row>
    <row r="32" spans="1:30" ht="16.7" thickBot="1" x14ac:dyDescent="0.35">
      <c r="B32" s="21">
        <v>1878</v>
      </c>
      <c r="C32" s="21">
        <v>1062</v>
      </c>
      <c r="D32" s="19">
        <v>721</v>
      </c>
      <c r="E32" s="19">
        <v>49</v>
      </c>
      <c r="F32" s="19">
        <v>46</v>
      </c>
      <c r="G32" s="23">
        <f>SUM(E32+C32)/(SUM(C$11:C$30)+SUM(E$11:E$30))</f>
        <v>1</v>
      </c>
      <c r="H32" s="23">
        <f>SUM(F32+D32)/(SUM(D$11:D$30)+SUM(F$11:F$30))</f>
        <v>1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DC1853B882B4A8BB14DB670B2A2D3" ma:contentTypeVersion="20" ma:contentTypeDescription="Create a new document." ma:contentTypeScope="" ma:versionID="6be96a1078a308162fc4ff181db0a777">
  <xsd:schema xmlns:xsd="http://www.w3.org/2001/XMLSchema" xmlns:xs="http://www.w3.org/2001/XMLSchema" xmlns:p="http://schemas.microsoft.com/office/2006/metadata/properties" xmlns:ns2="37893236-cb76-4d6f-8a18-4c624154e39c" xmlns:ns3="f8563a7a-d9fa-431f-b50c-34632ce7e22e" xmlns:ns4="ca283e0b-db31-4043-a2ef-b80661bf084a" targetNamespace="http://schemas.microsoft.com/office/2006/metadata/properties" ma:root="true" ma:fieldsID="835e46cce315996a58f0dc0fa9766c7d" ns2:_="" ns3:_="" ns4:_="">
    <xsd:import namespace="37893236-cb76-4d6f-8a18-4c624154e39c"/>
    <xsd:import namespace="f8563a7a-d9fa-431f-b50c-34632ce7e22e"/>
    <xsd:import namespace="ca283e0b-db31-4043-a2ef-b80661bf084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93236-cb76-4d6f-8a18-4c624154e39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563a7a-d9fa-431f-b50c-34632ce7e2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8c323795-bf66-45c8-ab03-966ad1dd6a0d}" ma:internalName="TaxCatchAll" ma:showField="CatchAllData" ma:web="37893236-cb76-4d6f-8a18-4c624154e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563a7a-d9fa-431f-b50c-34632ce7e22e">
      <Terms xmlns="http://schemas.microsoft.com/office/infopath/2007/PartnerControls"/>
    </lcf76f155ced4ddcb4097134ff3c332f>
    <TaxCatchAll xmlns="ca283e0b-db31-4043-a2ef-b80661bf084a" xsi:nil="true"/>
    <_dlc_DocId xmlns="37893236-cb76-4d6f-8a18-4c624154e39c">RFF2MQFYXHK7-870072624-206583</_dlc_DocId>
    <_dlc_DocIdUrl xmlns="37893236-cb76-4d6f-8a18-4c624154e39c">
      <Url>https://unicef.sharepoint.com/teams/DAPM-ChildMortality/_layouts/15/DocIdRedir.aspx?ID=RFF2MQFYXHK7-870072624-206583</Url>
      <Description>RFF2MQFYXHK7-870072624-206583</Description>
    </_dlc_DocIdUrl>
  </documentManagement>
</p:properties>
</file>

<file path=customXml/itemProps1.xml><?xml version="1.0" encoding="utf-8"?>
<ds:datastoreItem xmlns:ds="http://schemas.openxmlformats.org/officeDocument/2006/customXml" ds:itemID="{DA4ABD75-29F0-41DB-B856-AEF1FA15FE09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FA9D27D-1C00-40DC-8E3F-18D6DFC7D508}"/>
</file>

<file path=customXml/itemProps3.xml><?xml version="1.0" encoding="utf-8"?>
<ds:datastoreItem xmlns:ds="http://schemas.openxmlformats.org/officeDocument/2006/customXml" ds:itemID="{38A6967F-51BD-4D06-9FF1-ABC0A843932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DEB5014-6D68-47F3-A3FF-175417BB309A}">
  <ds:schemaRefs>
    <ds:schemaRef ds:uri="http://schemas.microsoft.com/office/2006/metadata/properties"/>
    <ds:schemaRef ds:uri="http://schemas.microsoft.com/office/infopath/2007/PartnerControls"/>
    <ds:schemaRef ds:uri="f8563a7a-d9fa-431f-b50c-34632ce7e22e"/>
    <ds:schemaRef ds:uri="ca283e0b-db31-4043-a2ef-b80661bf084a"/>
    <ds:schemaRef ds:uri="37893236-cb76-4d6f-8a18-4c624154e39c"/>
  </ds:schemaRefs>
</ds:datastoreItem>
</file>

<file path=docMetadata/LabelInfo.xml><?xml version="1.0" encoding="utf-8"?>
<clbl:labelList xmlns:clbl="http://schemas.microsoft.com/office/2020/mipLabelMetadata">
  <clbl:label id="{77410195-14e1-4fb8-904b-ab1892023667}" enabled="0" method="" siteId="{77410195-14e1-4fb8-904b-ab189202366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Civilian deaths by age and sex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2026-06-29T09:48:26Z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0x010100136DC1853B882B4A8BB14DB670B2A2D3</vt:lpwstr>
  </property>
  <property fmtid="{D5CDD505-2E9C-101B-9397-08002B2CF9AE}" pid="3" name="_dlc_DocIdItemGuid">
    <vt:lpwstr>e866f11d-00bc-438d-8d61-9b43affc5c4d</vt:lpwstr>
  </property>
  <property fmtid="{D5CDD505-2E9C-101B-9397-08002B2CF9AE}" pid="4" name="MediaServiceImageTags">
    <vt:lpwstr/>
  </property>
</Properties>
</file>